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931b3fc02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равочник номенклатуры" sheetId="1" r:id="Rfdfd6c0a67164fee"/>
    <x:sheet xmlns:r="http://schemas.openxmlformats.org/officeDocument/2006/relationships" name="Справочник контрагентов" sheetId="2" r:id="Rdb170f8559dd4c03"/>
    <x:sheet xmlns:r="http://schemas.openxmlformats.org/officeDocument/2006/relationships" name="ЛР2" sheetId="3" r:id="R30efc96f000b4bd4"/>
    <x:sheet xmlns:r="http://schemas.openxmlformats.org/officeDocument/2006/relationships" name="Приходные ордера" sheetId="4" r:id="R9303b860d6b54534"/>
    <x:sheet xmlns:r="http://schemas.openxmlformats.org/officeDocument/2006/relationships" name="Расходные ордера" sheetId="5" r:id="R747836e4608e4be0"/>
    <x:sheet xmlns:r="http://schemas.openxmlformats.org/officeDocument/2006/relationships" name="Остатки" sheetId="6" r:id="Rc45c9e5d7e024a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0"/>
    <x:numFmt numFmtId="202" formatCode="0.00&quot;%&quot;"/>
    <x:numFmt numFmtId="203" formatCode="@"/>
    <x:numFmt numFmtId="204" formatCode="dd.mm.yyyy"/>
    <x:numFmt numFmtId="205" formatCode="#,##0"/>
  </x:numFmts>
  <x:fonts count="6">
    <x:font>
      <x:sz val="11"/>
      <x:name val="Carlito"/>
    </x:font>
    <x:font>
      <x:sz val="11"/>
      <x:name val="Calibri"/>
    </x:font>
    <x:font>
      <x:b/>
      <x:sz val="11"/>
      <x:name val="Calibri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FFFFFF"/>
      </x:font>
      <x:fill>
        <x:patternFill patternType="solid">
          <x:bgColor rgb="FFFF0000"/>
        </x:patternFill>
      </x:fill>
    </x:dxf>
    <x:dxf>
      <x:fill>
        <x:patternFill patternType="solid">
          <x:bgColor rgb="FF00B05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107b1133c040b7" /><Relationship Type="http://schemas.openxmlformats.org/officeDocument/2006/relationships/theme" Target="/xl/theme/theme1.xml" Id="Rf3a9c6526bbb438c" /><Relationship Type="http://schemas.openxmlformats.org/officeDocument/2006/relationships/sharedStrings" Target="/xl/sharedStrings.xml" Id="R23a891d7a4c34eab" /><Relationship Type="http://schemas.openxmlformats.org/officeDocument/2006/relationships/worksheet" Target="/xl/worksheets/sheet1.xml" Id="Rfdfd6c0a67164fee" /><Relationship Type="http://schemas.openxmlformats.org/officeDocument/2006/relationships/worksheet" Target="/xl/worksheets/sheet2.xml" Id="Rdb170f8559dd4c03" /><Relationship Type="http://schemas.openxmlformats.org/officeDocument/2006/relationships/worksheet" Target="/xl/worksheets/sheet3.xml" Id="R30efc96f000b4bd4" /><Relationship Type="http://schemas.openxmlformats.org/officeDocument/2006/relationships/worksheet" Target="/xl/worksheets/sheet4.xml" Id="R9303b860d6b54534" /><Relationship Type="http://schemas.openxmlformats.org/officeDocument/2006/relationships/worksheet" Target="/xl/worksheets/sheet5.xml" Id="R747836e4608e4be0" /><Relationship Type="http://schemas.openxmlformats.org/officeDocument/2006/relationships/worksheet" Target="/xl/worksheets/sheet6.xml" Id="Rc45c9e5d7e024a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9" hidden="0" customWidth="1"/>
    <x:col min="3" max="3" width="24" hidden="0" customWidth="1"/>
    <x:col min="4" max="4" width="17" hidden="0" customWidth="1"/>
    <x:col min="5" max="5" width="20" hidden="0" customWidth="1"/>
    <x:col min="6" max="6" width="20" hidden="0" customWidth="1"/>
    <x:col min="7" max="7" width="24" hidden="0" customWidth="1"/>
    <x:col min="8" max="8" width="13" hidden="0" customWidth="1"/>
  </x:cols>
  <x:sheetData>
    <x:row r="1">
      <x:c r="A1" s="8" t="str">
        <x:v>Код товара</x:v>
      </x:c>
      <x:c r="B1" s="8" t="str">
        <x:v>Наименование товара</x:v>
      </x:c>
      <x:c r="C1" s="8" t="str">
        <x:v>Категория</x:v>
      </x:c>
      <x:c r="D1" s="8" t="str">
        <x:v>Единица измерения</x:v>
      </x:c>
      <x:c r="E1" s="8" t="str">
        <x:v>Цена закупки (руб.)</x:v>
      </x:c>
      <x:c r="F1" s="8" t="str">
        <x:v>Цена продажи (руб.)</x:v>
      </x:c>
      <x:c r="G1" s="8" t="str">
        <x:v>Минимальный остаток (шт.)</x:v>
      </x:c>
      <x:c r="H1" s="8" t="str">
        <x:v>Наценка, %</x:v>
      </x:c>
    </x:row>
    <x:row r="2">
      <x:c r="A2" s="9" t="str">
        <x:v>Т-001</x:v>
      </x:c>
      <x:c r="B2" s="9" t="str">
        <x:v>Лист стальной 1 мм</x:v>
      </x:c>
      <x:c r="C2" s="9" t="str">
        <x:v>Сырьё</x:v>
      </x:c>
      <x:c r="D2" s="9" t="str">
        <x:v>кг</x:v>
      </x:c>
      <x:c r="E2" s="12" t="n">
        <x:v>82</x:v>
      </x:c>
      <x:c r="F2" s="12" t="n">
        <x:v>96</x:v>
      </x:c>
      <x:c r="G2" s="14" t="n">
        <x:v>120</x:v>
      </x:c>
      <x:c r="H2" s="16" t="n">
        <x:f>(F2-E2)/E2*100</x:f>
        <x:v>17.073170731707318</x:v>
      </x:c>
    </x:row>
    <x:row r="3">
      <x:c r="A3" s="9" t="str">
        <x:v>Т-002</x:v>
      </x:c>
      <x:c r="B3" s="9" t="str">
        <x:v>Профиль алюминиевый</x:v>
      </x:c>
      <x:c r="C3" s="9" t="str">
        <x:v>Сырьё</x:v>
      </x:c>
      <x:c r="D3" s="9" t="str">
        <x:v>м</x:v>
      </x:c>
      <x:c r="E3" s="12" t="n">
        <x:v>210</x:v>
      </x:c>
      <x:c r="F3" s="12" t="n">
        <x:v>290</x:v>
      </x:c>
      <x:c r="G3" s="14" t="n">
        <x:v>80</x:v>
      </x:c>
      <x:c r="H3" s="16" t="n">
        <x:f>(F3-E3)/E3*100</x:f>
        <x:v>38.095238095238095</x:v>
      </x:c>
    </x:row>
    <x:row r="4">
      <x:c r="A4" s="9" t="str">
        <x:v>Т-003</x:v>
      </x:c>
      <x:c r="B4" s="9" t="str">
        <x:v>Фанера берёзовая 12 мм</x:v>
      </x:c>
      <x:c r="C4" s="9" t="str">
        <x:v>Сырьё</x:v>
      </x:c>
      <x:c r="D4" s="9" t="str">
        <x:v>шт.</x:v>
      </x:c>
      <x:c r="E4" s="12" t="n">
        <x:v>1450</x:v>
      </x:c>
      <x:c r="F4" s="12" t="n">
        <x:v>1750</x:v>
      </x:c>
      <x:c r="G4" s="14" t="n">
        <x:v>35</x:v>
      </x:c>
      <x:c r="H4" s="16" t="n">
        <x:f>(F4-E4)/E4*100</x:f>
        <x:v>20.689655172413794</x:v>
      </x:c>
    </x:row>
    <x:row r="5">
      <x:c r="A5" s="9" t="str">
        <x:v>Т-004</x:v>
      </x:c>
      <x:c r="B5" s="9" t="str">
        <x:v>Краска порошковая</x:v>
      </x:c>
      <x:c r="C5" s="9" t="str">
        <x:v>Сырьё</x:v>
      </x:c>
      <x:c r="D5" s="9" t="str">
        <x:v>кг</x:v>
      </x:c>
      <x:c r="E5" s="12" t="n">
        <x:v>520</x:v>
      </x:c>
      <x:c r="F5" s="12" t="n">
        <x:v>850</x:v>
      </x:c>
      <x:c r="G5" s="14" t="n">
        <x:v>40</x:v>
      </x:c>
      <x:c r="H5" s="16" t="n">
        <x:f>(F5-E5)/E5*100</x:f>
        <x:v>63.46153846153846</x:v>
      </x:c>
    </x:row>
    <x:row r="6">
      <x:c r="A6" s="9" t="str">
        <x:v>Т-005</x:v>
      </x:c>
      <x:c r="B6" s="9" t="str">
        <x:v>Гранулят полимерный</x:v>
      </x:c>
      <x:c r="C6" s="9" t="str">
        <x:v>Сырьё</x:v>
      </x:c>
      <x:c r="D6" s="9" t="str">
        <x:v>кг</x:v>
      </x:c>
      <x:c r="E6" s="12" t="n">
        <x:v>165</x:v>
      </x:c>
      <x:c r="F6" s="12" t="n">
        <x:v>275</x:v>
      </x:c>
      <x:c r="G6" s="14" t="n">
        <x:v>100</x:v>
      </x:c>
      <x:c r="H6" s="16" t="n">
        <x:f>(F6-E6)/E6*100</x:f>
        <x:v>66.66666666666666</x:v>
      </x:c>
    </x:row>
    <x:row r="7">
      <x:c r="A7" s="9" t="str">
        <x:v>Т-006</x:v>
      </x:c>
      <x:c r="B7" s="9" t="str">
        <x:v>Заготовка металлическая</x:v>
      </x:c>
      <x:c r="C7" s="9" t="str">
        <x:v>Полуфабрикат</x:v>
      </x:c>
      <x:c r="D7" s="9" t="str">
        <x:v>шт.</x:v>
      </x:c>
      <x:c r="E7" s="12" t="n">
        <x:v>310</x:v>
      </x:c>
      <x:c r="F7" s="12" t="n">
        <x:v>355</x:v>
      </x:c>
      <x:c r="G7" s="14" t="n">
        <x:v>60</x:v>
      </x:c>
      <x:c r="H7" s="16" t="n">
        <x:f>(F7-E7)/E7*100</x:f>
        <x:v>14.516129032258066</x:v>
      </x:c>
    </x:row>
    <x:row r="8">
      <x:c r="A8" s="9" t="str">
        <x:v>Т-007</x:v>
      </x:c>
      <x:c r="B8" s="9" t="str">
        <x:v>Каркас сварной</x:v>
      </x:c>
      <x:c r="C8" s="9" t="str">
        <x:v>Полуфабрикат</x:v>
      </x:c>
      <x:c r="D8" s="9" t="str">
        <x:v>шт.</x:v>
      </x:c>
      <x:c r="E8" s="12" t="n">
        <x:v>1250</x:v>
      </x:c>
      <x:c r="F8" s="12" t="n">
        <x:v>1750</x:v>
      </x:c>
      <x:c r="G8" s="14" t="n">
        <x:v>25</x:v>
      </x:c>
      <x:c r="H8" s="16" t="n">
        <x:f>(F8-E8)/E8*100</x:f>
        <x:v>40</x:v>
      </x:c>
    </x:row>
    <x:row r="9">
      <x:c r="A9" s="9" t="str">
        <x:v>Т-008</x:v>
      </x:c>
      <x:c r="B9" s="9" t="str">
        <x:v>Панель облицовочная</x:v>
      </x:c>
      <x:c r="C9" s="9" t="str">
        <x:v>Полуфабрикат</x:v>
      </x:c>
      <x:c r="D9" s="9" t="str">
        <x:v>шт.</x:v>
      </x:c>
      <x:c r="E9" s="12" t="n">
        <x:v>690</x:v>
      </x:c>
      <x:c r="F9" s="12" t="n">
        <x:v>1040</x:v>
      </x:c>
      <x:c r="G9" s="14" t="n">
        <x:v>30</x:v>
      </x:c>
      <x:c r="H9" s="16" t="n">
        <x:f>(F9-E9)/E9*100</x:f>
        <x:v>50.72463768115942</x:v>
      </x:c>
    </x:row>
    <x:row r="10">
      <x:c r="A10" s="9" t="str">
        <x:v>Т-009</x:v>
      </x:c>
      <x:c r="B10" s="9" t="str">
        <x:v>Корпус пластиковый</x:v>
      </x:c>
      <x:c r="C10" s="9" t="str">
        <x:v>Полуфабрикат</x:v>
      </x:c>
      <x:c r="D10" s="9" t="str">
        <x:v>шт.</x:v>
      </x:c>
      <x:c r="E10" s="12" t="n">
        <x:v>430</x:v>
      </x:c>
      <x:c r="F10" s="12" t="n">
        <x:v>720</x:v>
      </x:c>
      <x:c r="G10" s="14" t="n">
        <x:v>45</x:v>
      </x:c>
      <x:c r="H10" s="16" t="n">
        <x:f>(F10-E10)/E10*100</x:f>
        <x:v>67.44186046511628</x:v>
      </x:c>
    </x:row>
    <x:row r="11">
      <x:c r="A11" s="9" t="str">
        <x:v>Т-010</x:v>
      </x:c>
      <x:c r="B11" s="9" t="str">
        <x:v>Жгут проводов</x:v>
      </x:c>
      <x:c r="C11" s="9" t="str">
        <x:v>Полуфабрикат</x:v>
      </x:c>
      <x:c r="D11" s="9" t="str">
        <x:v>шт.</x:v>
      </x:c>
      <x:c r="E11" s="12" t="n">
        <x:v>260</x:v>
      </x:c>
      <x:c r="F11" s="12" t="n">
        <x:v>380</x:v>
      </x:c>
      <x:c r="G11" s="14" t="n">
        <x:v>50</x:v>
      </x:c>
      <x:c r="H11" s="16" t="n">
        <x:f>(F11-E11)/E11*100</x:f>
        <x:v>46.15384615384615</x:v>
      </x:c>
    </x:row>
    <x:row r="12">
      <x:c r="A12" s="9" t="str">
        <x:v>Т-011</x:v>
      </x:c>
      <x:c r="B12" s="9" t="str">
        <x:v>Стол производственный</x:v>
      </x:c>
      <x:c r="C12" s="9" t="str">
        <x:v>Готовая продукция</x:v>
      </x:c>
      <x:c r="D12" s="9" t="str">
        <x:v>шт.</x:v>
      </x:c>
      <x:c r="E12" s="12" t="n">
        <x:v>8500</x:v>
      </x:c>
      <x:c r="F12" s="12" t="n">
        <x:v>10900</x:v>
      </x:c>
      <x:c r="G12" s="14" t="n">
        <x:v>8</x:v>
      </x:c>
      <x:c r="H12" s="16" t="n">
        <x:f>(F12-E12)/E12*100</x:f>
        <x:v>28.235294117647058</x:v>
      </x:c>
    </x:row>
    <x:row r="13">
      <x:c r="A13" s="9" t="str">
        <x:v>Т-012</x:v>
      </x:c>
      <x:c r="B13" s="9" t="str">
        <x:v>Стул офисный</x:v>
      </x:c>
      <x:c r="C13" s="9" t="str">
        <x:v>Готовая продукция</x:v>
      </x:c>
      <x:c r="D13" s="9" t="str">
        <x:v>шт.</x:v>
      </x:c>
      <x:c r="E13" s="12" t="n">
        <x:v>4200</x:v>
      </x:c>
      <x:c r="F13" s="12" t="n">
        <x:v>6900</x:v>
      </x:c>
      <x:c r="G13" s="14" t="n">
        <x:v>12</x:v>
      </x:c>
      <x:c r="H13" s="16" t="n">
        <x:f>(F13-E13)/E13*100</x:f>
        <x:v>64.28571428571429</x:v>
      </x:c>
    </x:row>
    <x:row r="14">
      <x:c r="A14" s="9" t="str">
        <x:v>Т-013</x:v>
      </x:c>
      <x:c r="B14" s="9" t="str">
        <x:v>Стеллаж металлический</x:v>
      </x:c>
      <x:c r="C14" s="9" t="str">
        <x:v>Готовая продукция</x:v>
      </x:c>
      <x:c r="D14" s="9" t="str">
        <x:v>шт.</x:v>
      </x:c>
      <x:c r="E14" s="12" t="n">
        <x:v>6200</x:v>
      </x:c>
      <x:c r="F14" s="12" t="n">
        <x:v>9800</x:v>
      </x:c>
      <x:c r="G14" s="14" t="n">
        <x:v>10</x:v>
      </x:c>
      <x:c r="H14" s="16" t="n">
        <x:f>(F14-E14)/E14*100</x:f>
        <x:v>58.06451612903226</x:v>
      </x:c>
    </x:row>
    <x:row r="15">
      <x:c r="A15" s="9" t="str">
        <x:v>Т-014</x:v>
      </x:c>
      <x:c r="B15" s="9" t="str">
        <x:v>Шкаф инструментальный</x:v>
      </x:c>
      <x:c r="C15" s="9" t="str">
        <x:v>Готовая продукция</x:v>
      </x:c>
      <x:c r="D15" s="9" t="str">
        <x:v>шт.</x:v>
      </x:c>
      <x:c r="E15" s="12" t="n">
        <x:v>11800</x:v>
      </x:c>
      <x:c r="F15" s="12" t="n">
        <x:v>13900</x:v>
      </x:c>
      <x:c r="G15" s="14" t="n">
        <x:v>5</x:v>
      </x:c>
      <x:c r="H15" s="16" t="n">
        <x:f>(F15-E15)/E15*100</x:f>
        <x:v>17.796610169491526</x:v>
      </x:c>
    </x:row>
    <x:row r="16">
      <x:c r="A16" s="9" t="str">
        <x:v>Т-015</x:v>
      </x:c>
      <x:c r="B16" s="9" t="str">
        <x:v>Тележка инструментальная</x:v>
      </x:c>
      <x:c r="C16" s="9" t="str">
        <x:v>Готовая продукция</x:v>
      </x:c>
      <x:c r="D16" s="9" t="str">
        <x:v>шт.</x:v>
      </x:c>
      <x:c r="E16" s="12" t="n">
        <x:v>9600</x:v>
      </x:c>
      <x:c r="F16" s="12" t="n">
        <x:v>14900</x:v>
      </x:c>
      <x:c r="G16" s="14" t="n">
        <x:v>6</x:v>
      </x:c>
      <x:c r="H16" s="16" t="n">
        <x:f>(F16-E16)/E16*100</x:f>
        <x:v>55.208333333333336</x:v>
      </x:c>
    </x:row>
    <x:row r="17">
      <x:c r="A17" s="9" t="str">
        <x:v>Т-016</x:v>
      </x:c>
      <x:c r="B17" s="9" t="str">
        <x:v>Саморезы 4×30 (уп.)</x:v>
      </x:c>
      <x:c r="C17" s="9" t="str">
        <x:v>Расходные материалы</x:v>
      </x:c>
      <x:c r="D17" s="9" t="str">
        <x:v>шт.</x:v>
      </x:c>
      <x:c r="E17" s="12" t="n">
        <x:v>180</x:v>
      </x:c>
      <x:c r="F17" s="12" t="n">
        <x:v>320</x:v>
      </x:c>
      <x:c r="G17" s="14" t="n">
        <x:v>90</x:v>
      </x:c>
      <x:c r="H17" s="16" t="n">
        <x:f>(F17-E17)/E17*100</x:f>
        <x:v>77.77777777777779</x:v>
      </x:c>
    </x:row>
    <x:row r="18">
      <x:c r="A18" s="9" t="str">
        <x:v>Т-017</x:v>
      </x:c>
      <x:c r="B18" s="9" t="str">
        <x:v>Болты М8 (уп.)</x:v>
      </x:c>
      <x:c r="C18" s="9" t="str">
        <x:v>Расходные материалы</x:v>
      </x:c>
      <x:c r="D18" s="9" t="str">
        <x:v>шт.</x:v>
      </x:c>
      <x:c r="E18" s="12" t="n">
        <x:v>240</x:v>
      </x:c>
      <x:c r="F18" s="12" t="n">
        <x:v>285</x:v>
      </x:c>
      <x:c r="G18" s="14" t="n">
        <x:v>70</x:v>
      </x:c>
      <x:c r="H18" s="16" t="n">
        <x:f>(F18-E18)/E18*100</x:f>
        <x:v>18.75</x:v>
      </x:c>
    </x:row>
    <x:row r="19">
      <x:c r="A19" s="9" t="str">
        <x:v>Т-018</x:v>
      </x:c>
      <x:c r="B19" s="9" t="str">
        <x:v>Лента упаковочная</x:v>
      </x:c>
      <x:c r="C19" s="9" t="str">
        <x:v>Расходные материалы</x:v>
      </x:c>
      <x:c r="D19" s="9" t="str">
        <x:v>шт.</x:v>
      </x:c>
      <x:c r="E19" s="12" t="n">
        <x:v>95</x:v>
      </x:c>
      <x:c r="F19" s="12" t="n">
        <x:v>165</x:v>
      </x:c>
      <x:c r="G19" s="14" t="n">
        <x:v>100</x:v>
      </x:c>
      <x:c r="H19" s="16" t="n">
        <x:f>(F19-E19)/E19*100</x:f>
        <x:v>73.68421052631578</x:v>
      </x:c>
    </x:row>
    <x:row r="20">
      <x:c r="A20" s="9" t="str">
        <x:v>Т-019</x:v>
      </x:c>
      <x:c r="B20" s="9" t="str">
        <x:v>Перчатки рабочие</x:v>
      </x:c>
      <x:c r="C20" s="9" t="str">
        <x:v>Расходные материалы</x:v>
      </x:c>
      <x:c r="D20" s="9" t="str">
        <x:v>шт.</x:v>
      </x:c>
      <x:c r="E20" s="12" t="n">
        <x:v>75</x:v>
      </x:c>
      <x:c r="F20" s="12" t="n">
        <x:v>120</x:v>
      </x:c>
      <x:c r="G20" s="14" t="n">
        <x:v>150</x:v>
      </x:c>
      <x:c r="H20" s="16" t="n">
        <x:f>(F20-E20)/E20*100</x:f>
        <x:v>60</x:v>
      </x:c>
    </x:row>
    <x:row r="21">
      <x:c r="A21" s="9" t="str">
        <x:v>Т-020</x:v>
      </x:c>
      <x:c r="B21" s="9" t="str">
        <x:v>Растворитель технический</x:v>
      </x:c>
      <x:c r="C21" s="9" t="str">
        <x:v>Расходные материалы</x:v>
      </x:c>
      <x:c r="D21" s="9" t="str">
        <x:v>л</x:v>
      </x:c>
      <x:c r="E21" s="12" t="n">
        <x:v>190</x:v>
      </x:c>
      <x:c r="F21" s="12" t="n">
        <x:v>250</x:v>
      </x:c>
      <x:c r="G21" s="14" t="n">
        <x:v>50</x:v>
      </x:c>
      <x:c r="H21" s="16" t="n">
        <x:f>(F21-E21)/E21*100</x:f>
        <x:v>31.57894736842105</x:v>
      </x:c>
    </x:row>
  </x:sheetData>
  <x:conditionalFormatting sqref="H2:H21">
    <x:cfRule type="cellIs" dxfId="0" priority="1" operator="lessThan">
      <x:formula>20</x:formula>
    </x:cfRule>
    <x:cfRule type="cellIs" dxfId="1" priority="2" operator="greaterThan">
      <x:formula>50</x:formula>
    </x:cfRule>
  </x:conditionalFormatting>
  <x:dataValidations count="1">
    <x:dataValidation type="list" sqref="C2:C21">
      <x:formula1>"Сырьё,Полуфабрикат,Готовая продукция,Расходные материалы"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21" hidden="0" customWidth="1"/>
    <x:col min="7" max="7" width="24" hidden="0" customWidth="1"/>
    <x:col min="8" max="8" width="3" hidden="0" customWidth="1"/>
    <x:col min="9" max="9" width="21" hidden="0" customWidth="1"/>
  </x:cols>
  <x:sheetData>
    <x:row r="1">
      <x:c r="A1" s="8" t="str">
        <x:v>Код контрагента</x:v>
      </x:c>
      <x:c r="B1" s="8" t="str">
        <x:v>Наименование организации</x:v>
      </x:c>
      <x:c r="C1" s="8" t="str">
        <x:v>Тип</x:v>
      </x:c>
      <x:c r="D1" s="8" t="str">
        <x:v>ИНН</x:v>
      </x:c>
      <x:c r="E1" s="8" t="str">
        <x:v>Город</x:v>
      </x:c>
      <x:c r="F1" s="8" t="str">
        <x:v>Телефон</x:v>
      </x:c>
      <x:c r="G1" s="8" t="str">
        <x:v>Условия оплаты (дней)</x:v>
      </x:c>
      <x:c r="H1" s="9"/>
      <x:c r="I1" s="18" t="str">
        <x:v>Список городов</x:v>
      </x:c>
    </x:row>
    <x:row r="2">
      <x:c r="A2" s="9" t="str">
        <x:v>К-001</x:v>
      </x:c>
      <x:c r="B2" s="9" t="str">
        <x:v>ООО «СеверМеталл»</x:v>
      </x:c>
      <x:c r="C2" s="9" t="str">
        <x:v>Поставщик</x:v>
      </x:c>
      <x:c r="D2" s="20" t="str">
        <x:v>7604012345</x:v>
      </x:c>
      <x:c r="E2" s="9" t="str">
        <x:v>Ярославль</x:v>
      </x:c>
      <x:c r="F2" s="20" t="str">
        <x:v>+7 (999) 101-10-01</x:v>
      </x:c>
      <x:c r="G2" s="14" t="n">
        <x:v>30</x:v>
      </x:c>
      <x:c r="H2" s="9"/>
      <x:c r="I2" s="9" t="str">
        <x:v>Ярославль</x:v>
      </x:c>
    </x:row>
    <x:row r="3">
      <x:c r="A3" s="9" t="str">
        <x:v>К-002</x:v>
      </x:c>
      <x:c r="B3" s="9" t="str">
        <x:v>АО «ПромАлюминий»</x:v>
      </x:c>
      <x:c r="C3" s="9" t="str">
        <x:v>Поставщик</x:v>
      </x:c>
      <x:c r="D3" s="20" t="str">
        <x:v>7705123456</x:v>
      </x:c>
      <x:c r="E3" s="9" t="str">
        <x:v>Москва</x:v>
      </x:c>
      <x:c r="F3" s="20" t="str">
        <x:v>+7 (999) 101-10-02</x:v>
      </x:c>
      <x:c r="G3" s="14" t="n">
        <x:v>20</x:v>
      </x:c>
      <x:c r="H3" s="9"/>
      <x:c r="I3" s="9" t="str">
        <x:v>Москва</x:v>
      </x:c>
    </x:row>
    <x:row r="4">
      <x:c r="A4" s="9" t="str">
        <x:v>К-003</x:v>
      </x:c>
      <x:c r="B4" s="9" t="str">
        <x:v>ООО «ЛесКомплект»</x:v>
      </x:c>
      <x:c r="C4" s="9" t="str">
        <x:v>Поставщик</x:v>
      </x:c>
      <x:c r="D4" s="20" t="str">
        <x:v>4401123457</x:v>
      </x:c>
      <x:c r="E4" s="9" t="str">
        <x:v>Кострома</x:v>
      </x:c>
      <x:c r="F4" s="20" t="str">
        <x:v>+7 (999) 101-10-03</x:v>
      </x:c>
      <x:c r="G4" s="14" t="n">
        <x:v>14</x:v>
      </x:c>
      <x:c r="H4" s="9"/>
      <x:c r="I4" s="9" t="str">
        <x:v>Кострома</x:v>
      </x:c>
    </x:row>
    <x:row r="5">
      <x:c r="A5" s="9" t="str">
        <x:v>К-004</x:v>
      </x:c>
      <x:c r="B5" s="9" t="str">
        <x:v>ООО «ПолимерСнаб»</x:v>
      </x:c>
      <x:c r="C5" s="9" t="str">
        <x:v>Поставщик</x:v>
      </x:c>
      <x:c r="D5" s="20" t="str">
        <x:v>7812123458</x:v>
      </x:c>
      <x:c r="E5" s="9" t="str">
        <x:v>Санкт-Петербург</x:v>
      </x:c>
      <x:c r="F5" s="20" t="str">
        <x:v>+7 (999) 101-10-04</x:v>
      </x:c>
      <x:c r="G5" s="14" t="n">
        <x:v>30</x:v>
      </x:c>
      <x:c r="H5" s="9"/>
      <x:c r="I5" s="9" t="str">
        <x:v>Санкт-Петербург</x:v>
      </x:c>
    </x:row>
    <x:row r="6">
      <x:c r="A6" s="9" t="str">
        <x:v>К-005</x:v>
      </x:c>
      <x:c r="B6" s="9" t="str">
        <x:v>ООО «ПрофКраска»</x:v>
      </x:c>
      <x:c r="C6" s="9" t="str">
        <x:v>Поставщик</x:v>
      </x:c>
      <x:c r="D6" s="20" t="str">
        <x:v>5207123459</x:v>
      </x:c>
      <x:c r="E6" s="9" t="str">
        <x:v>Нижний Новгород</x:v>
      </x:c>
      <x:c r="F6" s="20" t="str">
        <x:v>+7 (999) 101-10-05</x:v>
      </x:c>
      <x:c r="G6" s="14" t="n">
        <x:v>15</x:v>
      </x:c>
      <x:c r="H6" s="9"/>
      <x:c r="I6" s="9" t="str">
        <x:v>Нижний Новгород</x:v>
      </x:c>
    </x:row>
    <x:row r="7">
      <x:c r="A7" s="9" t="str">
        <x:v>К-006</x:v>
      </x:c>
      <x:c r="B7" s="9" t="str">
        <x:v>ООО «Крепёж-Сервис»</x:v>
      </x:c>
      <x:c r="C7" s="9" t="str">
        <x:v>Поставщик</x:v>
      </x:c>
      <x:c r="D7" s="20" t="str">
        <x:v>7604123460</x:v>
      </x:c>
      <x:c r="E7" s="9" t="str">
        <x:v>Ярославль</x:v>
      </x:c>
      <x:c r="F7" s="20" t="str">
        <x:v>+7 (999) 101-10-06</x:v>
      </x:c>
      <x:c r="G7" s="14" t="n">
        <x:v>10</x:v>
      </x:c>
      <x:c r="H7" s="9"/>
      <x:c r="I7" s="9" t="str">
        <x:v>Иваново</x:v>
      </x:c>
    </x:row>
    <x:row r="8">
      <x:c r="A8" s="9" t="str">
        <x:v>К-007</x:v>
      </x:c>
      <x:c r="B8" s="9" t="str">
        <x:v>ООО «ЭлектроКомплект»</x:v>
      </x:c>
      <x:c r="C8" s="9" t="str">
        <x:v>Поставщик</x:v>
      </x:c>
      <x:c r="D8" s="20" t="str">
        <x:v>5001123461</x:v>
      </x:c>
      <x:c r="E8" s="9" t="str">
        <x:v>Москва</x:v>
      </x:c>
      <x:c r="F8" s="20" t="str">
        <x:v>+7 (999) 101-10-07</x:v>
      </x:c>
      <x:c r="G8" s="14" t="n">
        <x:v>21</x:v>
      </x:c>
      <x:c r="H8" s="9"/>
      <x:c r="I8" s="9" t="str">
        <x:v>Владимир</x:v>
      </x:c>
    </x:row>
    <x:row r="9">
      <x:c r="A9" s="9" t="str">
        <x:v>К-008</x:v>
      </x:c>
      <x:c r="B9" s="9" t="str">
        <x:v>ООО «ПакТрейд»</x:v>
      </x:c>
      <x:c r="C9" s="9" t="str">
        <x:v>Поставщик</x:v>
      </x:c>
      <x:c r="D9" s="20" t="str">
        <x:v>3702123462</x:v>
      </x:c>
      <x:c r="E9" s="9" t="str">
        <x:v>Иваново</x:v>
      </x:c>
      <x:c r="F9" s="20" t="str">
        <x:v>+7 (999) 101-10-08</x:v>
      </x:c>
      <x:c r="G9" s="14" t="n">
        <x:v>14</x:v>
      </x:c>
      <x:c r="H9" s="9"/>
      <x:c r="I9" s="9"/>
    </x:row>
    <x:row r="10">
      <x:c r="A10" s="9" t="str">
        <x:v>К-009</x:v>
      </x:c>
      <x:c r="B10" s="9" t="str">
        <x:v>ООО «ХимСнаб Регион»</x:v>
      </x:c>
      <x:c r="C10" s="9" t="str">
        <x:v>Поставщик</x:v>
      </x:c>
      <x:c r="D10" s="20" t="str">
        <x:v>3301123463</x:v>
      </x:c>
      <x:c r="E10" s="9" t="str">
        <x:v>Владимир</x:v>
      </x:c>
      <x:c r="F10" s="20" t="str">
        <x:v>+7 (999) 101-10-09</x:v>
      </x:c>
      <x:c r="G10" s="14" t="n">
        <x:v>30</x:v>
      </x:c>
      <x:c r="H10" s="9"/>
      <x:c r="I10" s="9"/>
    </x:row>
    <x:row r="11">
      <x:c r="A11" s="9" t="str">
        <x:v>К-010</x:v>
      </x:c>
      <x:c r="B11" s="9" t="str">
        <x:v>ООО «ОфисПроект»</x:v>
      </x:c>
      <x:c r="C11" s="9" t="str">
        <x:v>Покупатель</x:v>
      </x:c>
      <x:c r="D11" s="20" t="str">
        <x:v>7604123464</x:v>
      </x:c>
      <x:c r="E11" s="9" t="str">
        <x:v>Ярославль</x:v>
      </x:c>
      <x:c r="F11" s="20" t="str">
        <x:v>+7 (999) 202-20-10</x:v>
      </x:c>
      <x:c r="G11" s="14" t="n">
        <x:v>15</x:v>
      </x:c>
      <x:c r="H11" s="9"/>
      <x:c r="I11" s="9"/>
    </x:row>
    <x:row r="12">
      <x:c r="A12" s="9" t="str">
        <x:v>К-011</x:v>
      </x:c>
      <x:c r="B12" s="9" t="str">
        <x:v>АО «РегионСтрой»</x:v>
      </x:c>
      <x:c r="C12" s="9" t="str">
        <x:v>Покупатель</x:v>
      </x:c>
      <x:c r="D12" s="20" t="str">
        <x:v>7705123465</x:v>
      </x:c>
      <x:c r="E12" s="9" t="str">
        <x:v>Москва</x:v>
      </x:c>
      <x:c r="F12" s="20" t="str">
        <x:v>+7 (999) 202-20-11</x:v>
      </x:c>
      <x:c r="G12" s="14" t="n">
        <x:v>30</x:v>
      </x:c>
      <x:c r="H12" s="9"/>
      <x:c r="I12" s="9"/>
    </x:row>
    <x:row r="13">
      <x:c r="A13" s="9" t="str">
        <x:v>К-012</x:v>
      </x:c>
      <x:c r="B13" s="9" t="str">
        <x:v>ООО «СкладСервис»</x:v>
      </x:c>
      <x:c r="C13" s="9" t="str">
        <x:v>Покупатель</x:v>
      </x:c>
      <x:c r="D13" s="20" t="str">
        <x:v>4401123466</x:v>
      </x:c>
      <x:c r="E13" s="9" t="str">
        <x:v>Кострома</x:v>
      </x:c>
      <x:c r="F13" s="20" t="str">
        <x:v>+7 (999) 202-20-12</x:v>
      </x:c>
      <x:c r="G13" s="14" t="n">
        <x:v>20</x:v>
      </x:c>
      <x:c r="H13" s="9"/>
      <x:c r="I13" s="9"/>
    </x:row>
    <x:row r="14">
      <x:c r="A14" s="9" t="str">
        <x:v>К-013</x:v>
      </x:c>
      <x:c r="B14" s="9" t="str">
        <x:v>ООО «МастерМебель»</x:v>
      </x:c>
      <x:c r="C14" s="9" t="str">
        <x:v>Покупатель</x:v>
      </x:c>
      <x:c r="D14" s="20" t="str">
        <x:v>3702123467</x:v>
      </x:c>
      <x:c r="E14" s="9" t="str">
        <x:v>Иваново</x:v>
      </x:c>
      <x:c r="F14" s="20" t="str">
        <x:v>+7 (999) 202-20-13</x:v>
      </x:c>
      <x:c r="G14" s="14" t="n">
        <x:v>14</x:v>
      </x:c>
      <x:c r="H14" s="9"/>
      <x:c r="I14" s="9"/>
    </x:row>
    <x:row r="15">
      <x:c r="A15" s="9" t="str">
        <x:v>К-014</x:v>
      </x:c>
      <x:c r="B15" s="9" t="str">
        <x:v>ООО «ТехноПарк»</x:v>
      </x:c>
      <x:c r="C15" s="9" t="str">
        <x:v>Покупатель</x:v>
      </x:c>
      <x:c r="D15" s="20" t="str">
        <x:v>5207123468</x:v>
      </x:c>
      <x:c r="E15" s="9" t="str">
        <x:v>Нижний Новгород</x:v>
      </x:c>
      <x:c r="F15" s="20" t="str">
        <x:v>+7 (999) 202-20-14</x:v>
      </x:c>
      <x:c r="G15" s="14" t="n">
        <x:v>30</x:v>
      </x:c>
      <x:c r="H15" s="9"/>
      <x:c r="I15" s="9"/>
    </x:row>
    <x:row r="16">
      <x:c r="A16" s="9" t="str">
        <x:v>К-015</x:v>
      </x:c>
      <x:c r="B16" s="9" t="str">
        <x:v>ООО «Вектор»</x:v>
      </x:c>
      <x:c r="C16" s="9" t="str">
        <x:v>Покупатель</x:v>
      </x:c>
      <x:c r="D16" s="20" t="str">
        <x:v>3301123469</x:v>
      </x:c>
      <x:c r="E16" s="9" t="str">
        <x:v>Владимир</x:v>
      </x:c>
      <x:c r="F16" s="20" t="str">
        <x:v>+7 (999) 202-20-15</x:v>
      </x:c>
      <x:c r="G16" s="14" t="n">
        <x:v>10</x:v>
      </x:c>
      <x:c r="H16" s="9"/>
      <x:c r="I16" s="9"/>
    </x:row>
  </x:sheetData>
  <x:dataValidations count="2">
    <x:dataValidation type="list" sqref="C2:C16">
      <x:formula1>"Поставщик,Покупатель"</x:formula1>
    </x:dataValidation>
    <x:dataValidation type="list" sqref="E2:E16">
      <x:formula1>'Справочник контрагентов'!$I$2:$I$8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>
      <x:c r="A1" s="30" t="str">
        <x:v>Лабораторная работа №2</x:v>
      </x:c>
    </x:row>
    <x:row r="2">
      <x:c r="A2" s="31" t="str">
        <x:v>Учёт складских остатков и движение запасов</x:v>
      </x:c>
    </x:row>
    <x:row r="3">
      <x:c r="A3" s="32" t="str"/>
    </x:row>
    <x:row r="4">
      <x:c r="A4" s="33" t="str">
        <x:v>Цель работы</x:v>
      </x:c>
    </x:row>
    <x:row r="5">
      <x:c r="A5" s="32" t="str">
        <x:v>Моделировать складской модуль ERP — учёт прихода, расхода и текущих остатков товара. Освоить функции СУММЕСЛИ, ВПР, ЕСЛИ для автоматизации складского учёта.</x:v>
      </x:c>
    </x:row>
    <x:row r="6">
      <x:c r="A6" s="32" t="str"/>
    </x:row>
    <x:row r="7">
      <x:c r="A7" s="33" t="str">
        <x:v>Краткие теоретические сведения</x:v>
      </x:c>
    </x:row>
    <x:row r="8">
      <x:c r="A8" s="32" t="str">
        <x:v>Складской модуль ERP-системы обеспечивает учёт движения товаров: приход (поступление от поставщиков), расход (отгрузка покупателям), внутренние перемещения. На основе данных о движении рассчитываются текущие остатки, формируются заявки на пополнение запасов.</x:v>
      </x:c>
    </x:row>
    <x:row r="9">
      <x:c r="A9" s="32" t="str"/>
    </x:row>
    <x:row r="10">
      <x:c r="A10" s="33" t="str">
        <x:v>Порядок выполнения работы</x:v>
      </x:c>
    </x:row>
    <x:row r="11">
      <x:c r="A11" s="32" t="str">
        <x:v>1. Создать лист «Приходные ордера»: № ордера, дата, код товара, наименование, количество, поставщик, цена закупки, сумма. Заполнить 15 приходных ордеров за один месяц.</x:v>
      </x:c>
    </x:row>
    <x:row r="12">
      <x:c r="A12" s="32" t="str">
        <x:v>2. Создать лист «Расходные ордера» аналогичной структуры: покупатель вместо поставщика, цена продажи вместо цены закупки. Заполнить 15 расходных ордеров.</x:v>
      </x:c>
    </x:row>
    <x:row r="13">
      <x:c r="A13" s="32" t="str">
        <x:v>3. Создать лист «Остатки»: код товара, наименование, начальный остаток, всего приход, всего расход, конечный остаток, минимальный остаток, статус.</x:v>
      </x:c>
    </x:row>
    <x:row r="14">
      <x:c r="A14" s="32" t="str">
        <x:v>4. Для статуса применить условное форматирование: «Заказать» — красный фон и белый шрифт; «ОК» — зелёный фон.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8" hidden="0" customWidth="1"/>
    <x:col min="5" max="5" width="17" hidden="0" customWidth="1"/>
    <x:col min="6" max="6" width="28" hidden="0" customWidth="1"/>
    <x:col min="7" max="7" width="20" hidden="0" customWidth="1"/>
    <x:col min="8" max="8" width="18" hidden="0" customWidth="1"/>
  </x:cols>
  <x:sheetData>
    <x:row r="1">
      <x:c r="A1" s="34" t="str">
        <x:v>№ ордера</x:v>
      </x:c>
      <x:c r="B1" s="34" t="str">
        <x:v>Дата</x:v>
      </x:c>
      <x:c r="C1" s="34" t="str">
        <x:v>Код товара</x:v>
      </x:c>
      <x:c r="D1" s="34" t="str">
        <x:v>Наименование</x:v>
      </x:c>
      <x:c r="E1" s="34" t="str">
        <x:v>Количество (шт.)</x:v>
      </x:c>
      <x:c r="F1" s="34" t="str">
        <x:v>Поставщик</x:v>
      </x:c>
      <x:c r="G1" s="34" t="str">
        <x:v>Цена закупки (руб.)</x:v>
      </x:c>
      <x:c r="H1" s="34" t="str">
        <x:v>Сумма (руб.)</x:v>
      </x:c>
    </x:row>
    <x:row r="2">
      <x:c r="A2" s="9" t="str">
        <x:v>ПО-001</x:v>
      </x:c>
      <x:c r="B2" s="35" t="str">
        <x:v>01.09.2026</x:v>
      </x:c>
      <x:c r="C2" s="9" t="str">
        <x:v>Т-001</x:v>
      </x:c>
      <x:c r="D2" s="9" t="str">
        <x:f>VLOOKUP(C2,'Справочник номенклатуры'!$A$2:$H$21,2,FALSE)</x:f>
        <x:v>Лист стальной 1 мм</x:v>
      </x:c>
      <x:c r="E2" s="9" t="n">
        <x:v>40</x:v>
      </x:c>
      <x:c r="F2" s="9" t="str">
        <x:v>ООО «СеверМеталл»</x:v>
      </x:c>
      <x:c r="G2" s="36" t="n">
        <x:f>VLOOKUP(C2,'Справочник номенклатуры'!$A$2:$H$21,5,FALSE)</x:f>
        <x:v>82</x:v>
      </x:c>
      <x:c r="H2" s="36" t="n">
        <x:f>E2*G2</x:f>
        <x:v>3280</x:v>
      </x:c>
    </x:row>
    <x:row r="3">
      <x:c r="A3" s="9" t="str">
        <x:v>ПО-002</x:v>
      </x:c>
      <x:c r="B3" s="35" t="str">
        <x:v>03.09.2026</x:v>
      </x:c>
      <x:c r="C3" s="9" t="str">
        <x:v>Т-002</x:v>
      </x:c>
      <x:c r="D3" s="9" t="str">
        <x:f>VLOOKUP(C3,'Справочник номенклатуры'!$A$2:$H$21,2,FALSE)</x:f>
        <x:v>Профиль алюминиевый</x:v>
      </x:c>
      <x:c r="E3" s="9" t="n">
        <x:v>30</x:v>
      </x:c>
      <x:c r="F3" s="9" t="str">
        <x:v>АО «ПромАлюминий»</x:v>
      </x:c>
      <x:c r="G3" s="36" t="n">
        <x:f>VLOOKUP(C3,'Справочник номенклатуры'!$A$2:$H$21,5,FALSE)</x:f>
        <x:v>210</x:v>
      </x:c>
      <x:c r="H3" s="36" t="n">
        <x:f>E3*G3</x:f>
        <x:v>6300</x:v>
      </x:c>
    </x:row>
    <x:row r="4">
      <x:c r="A4" s="9" t="str">
        <x:v>ПО-003</x:v>
      </x:c>
      <x:c r="B4" s="35" t="str">
        <x:v>04.09.2026</x:v>
      </x:c>
      <x:c r="C4" s="9" t="str">
        <x:v>Т-003</x:v>
      </x:c>
      <x:c r="D4" s="9" t="str">
        <x:f>VLOOKUP(C4,'Справочник номенклатуры'!$A$2:$H$21,2,FALSE)</x:f>
        <x:v>Фанера берёзовая 12 мм</x:v>
      </x:c>
      <x:c r="E4" s="9" t="n">
        <x:v>15</x:v>
      </x:c>
      <x:c r="F4" s="9" t="str">
        <x:v>ООО «ЛесКомплект»</x:v>
      </x:c>
      <x:c r="G4" s="36" t="n">
        <x:f>VLOOKUP(C4,'Справочник номенклатуры'!$A$2:$H$21,5,FALSE)</x:f>
        <x:v>1450</x:v>
      </x:c>
      <x:c r="H4" s="36" t="n">
        <x:f>E4*G4</x:f>
        <x:v>21750</x:v>
      </x:c>
    </x:row>
    <x:row r="5">
      <x:c r="A5" s="9" t="str">
        <x:v>ПО-004</x:v>
      </x:c>
      <x:c r="B5" s="35" t="str">
        <x:v>06.09.2026</x:v>
      </x:c>
      <x:c r="C5" s="9" t="str">
        <x:v>Т-004</x:v>
      </x:c>
      <x:c r="D5" s="9" t="str">
        <x:f>VLOOKUP(C5,'Справочник номенклатуры'!$A$2:$H$21,2,FALSE)</x:f>
        <x:v>Краска порошковая</x:v>
      </x:c>
      <x:c r="E5" s="9" t="n">
        <x:v>20</x:v>
      </x:c>
      <x:c r="F5" s="9" t="str">
        <x:v>ООО «ПрофКраска»</x:v>
      </x:c>
      <x:c r="G5" s="36" t="n">
        <x:f>VLOOKUP(C5,'Справочник номенклатуры'!$A$2:$H$21,5,FALSE)</x:f>
        <x:v>520</x:v>
      </x:c>
      <x:c r="H5" s="36" t="n">
        <x:f>E5*G5</x:f>
        <x:v>10400</x:v>
      </x:c>
    </x:row>
    <x:row r="6">
      <x:c r="A6" s="9" t="str">
        <x:v>ПО-005</x:v>
      </x:c>
      <x:c r="B6" s="35" t="str">
        <x:v>08.09.2026</x:v>
      </x:c>
      <x:c r="C6" s="9" t="str">
        <x:v>Т-005</x:v>
      </x:c>
      <x:c r="D6" s="9" t="str">
        <x:f>VLOOKUP(C6,'Справочник номенклатуры'!$A$2:$H$21,2,FALSE)</x:f>
        <x:v>Гранулят полимерный</x:v>
      </x:c>
      <x:c r="E6" s="9" t="n">
        <x:v>50</x:v>
      </x:c>
      <x:c r="F6" s="9" t="str">
        <x:v>ООО «ПолимерСнаб»</x:v>
      </x:c>
      <x:c r="G6" s="36" t="n">
        <x:f>VLOOKUP(C6,'Справочник номенклатуры'!$A$2:$H$21,5,FALSE)</x:f>
        <x:v>165</x:v>
      </x:c>
      <x:c r="H6" s="36" t="n">
        <x:f>E6*G6</x:f>
        <x:v>8250</x:v>
      </x:c>
    </x:row>
    <x:row r="7">
      <x:c r="A7" s="9" t="str">
        <x:v>ПО-006</x:v>
      </x:c>
      <x:c r="B7" s="35" t="str">
        <x:v>10.09.2026</x:v>
      </x:c>
      <x:c r="C7" s="9" t="str">
        <x:v>Т-006</x:v>
      </x:c>
      <x:c r="D7" s="9" t="str">
        <x:f>VLOOKUP(C7,'Справочник номенклатуры'!$A$2:$H$21,2,FALSE)</x:f>
        <x:v>Заготовка металлическая</x:v>
      </x:c>
      <x:c r="E7" s="9" t="n">
        <x:v>20</x:v>
      </x:c>
      <x:c r="F7" s="9" t="str">
        <x:v>ООО «СеверМеталл»</x:v>
      </x:c>
      <x:c r="G7" s="36" t="n">
        <x:f>VLOOKUP(C7,'Справочник номенклатуры'!$A$2:$H$21,5,FALSE)</x:f>
        <x:v>310</x:v>
      </x:c>
      <x:c r="H7" s="36" t="n">
        <x:f>E7*G7</x:f>
        <x:v>6200</x:v>
      </x:c>
    </x:row>
    <x:row r="8">
      <x:c r="A8" s="9" t="str">
        <x:v>ПО-007</x:v>
      </x:c>
      <x:c r="B8" s="35" t="str">
        <x:v>12.09.2026</x:v>
      </x:c>
      <x:c r="C8" s="9" t="str">
        <x:v>Т-007</x:v>
      </x:c>
      <x:c r="D8" s="9" t="str">
        <x:f>VLOOKUP(C8,'Справочник номенклатуры'!$A$2:$H$21,2,FALSE)</x:f>
        <x:v>Каркас сварной</x:v>
      </x:c>
      <x:c r="E8" s="9" t="n">
        <x:v>10</x:v>
      </x:c>
      <x:c r="F8" s="9" t="str">
        <x:v>ООО «СеверМеталл»</x:v>
      </x:c>
      <x:c r="G8" s="36" t="n">
        <x:f>VLOOKUP(C8,'Справочник номенклатуры'!$A$2:$H$21,5,FALSE)</x:f>
        <x:v>1250</x:v>
      </x:c>
      <x:c r="H8" s="36" t="n">
        <x:f>E8*G8</x:f>
        <x:v>12500</x:v>
      </x:c>
    </x:row>
    <x:row r="9">
      <x:c r="A9" s="9" t="str">
        <x:v>ПО-008</x:v>
      </x:c>
      <x:c r="B9" s="35" t="str">
        <x:v>14.09.2026</x:v>
      </x:c>
      <x:c r="C9" s="9" t="str">
        <x:v>Т-008</x:v>
      </x:c>
      <x:c r="D9" s="9" t="str">
        <x:f>VLOOKUP(C9,'Справочник номенклатуры'!$A$2:$H$21,2,FALSE)</x:f>
        <x:v>Панель облицовочная</x:v>
      </x:c>
      <x:c r="E9" s="9" t="n">
        <x:v>15</x:v>
      </x:c>
      <x:c r="F9" s="9" t="str">
        <x:v>ООО «ЛесКомплект»</x:v>
      </x:c>
      <x:c r="G9" s="36" t="n">
        <x:f>VLOOKUP(C9,'Справочник номенклатуры'!$A$2:$H$21,5,FALSE)</x:f>
        <x:v>690</x:v>
      </x:c>
      <x:c r="H9" s="36" t="n">
        <x:f>E9*G9</x:f>
        <x:v>10350</x:v>
      </x:c>
    </x:row>
    <x:row r="10">
      <x:c r="A10" s="9" t="str">
        <x:v>ПО-009</x:v>
      </x:c>
      <x:c r="B10" s="35" t="str">
        <x:v>16.09.2026</x:v>
      </x:c>
      <x:c r="C10" s="9" t="str">
        <x:v>Т-009</x:v>
      </x:c>
      <x:c r="D10" s="9" t="str">
        <x:f>VLOOKUP(C10,'Справочник номенклатуры'!$A$2:$H$21,2,FALSE)</x:f>
        <x:v>Корпус пластиковый</x:v>
      </x:c>
      <x:c r="E10" s="9" t="n">
        <x:v>25</x:v>
      </x:c>
      <x:c r="F10" s="9" t="str">
        <x:v>ООО «ПолимерСнаб»</x:v>
      </x:c>
      <x:c r="G10" s="36" t="n">
        <x:f>VLOOKUP(C10,'Справочник номенклатуры'!$A$2:$H$21,5,FALSE)</x:f>
        <x:v>430</x:v>
      </x:c>
      <x:c r="H10" s="36" t="n">
        <x:f>E10*G10</x:f>
        <x:v>10750</x:v>
      </x:c>
    </x:row>
    <x:row r="11">
      <x:c r="A11" s="9" t="str">
        <x:v>ПО-010</x:v>
      </x:c>
      <x:c r="B11" s="35" t="str">
        <x:v>18.09.2026</x:v>
      </x:c>
      <x:c r="C11" s="9" t="str">
        <x:v>Т-010</x:v>
      </x:c>
      <x:c r="D11" s="9" t="str">
        <x:f>VLOOKUP(C11,'Справочник номенклатуры'!$A$2:$H$21,2,FALSE)</x:f>
        <x:v>Жгут проводов</x:v>
      </x:c>
      <x:c r="E11" s="9" t="n">
        <x:v>20</x:v>
      </x:c>
      <x:c r="F11" s="9" t="str">
        <x:v>ООО «ЭлектроКомплект»</x:v>
      </x:c>
      <x:c r="G11" s="36" t="n">
        <x:f>VLOOKUP(C11,'Справочник номенклатуры'!$A$2:$H$21,5,FALSE)</x:f>
        <x:v>260</x:v>
      </x:c>
      <x:c r="H11" s="36" t="n">
        <x:f>E11*G11</x:f>
        <x:v>5200</x:v>
      </x:c>
    </x:row>
    <x:row r="12">
      <x:c r="A12" s="9" t="str">
        <x:v>ПО-011</x:v>
      </x:c>
      <x:c r="B12" s="35" t="str">
        <x:v>20.09.2026</x:v>
      </x:c>
      <x:c r="C12" s="9" t="str">
        <x:v>Т-011</x:v>
      </x:c>
      <x:c r="D12" s="9" t="str">
        <x:f>VLOOKUP(C12,'Справочник номенклатуры'!$A$2:$H$21,2,FALSE)</x:f>
        <x:v>Стол производственный</x:v>
      </x:c>
      <x:c r="E12" s="9" t="n">
        <x:v>5</x:v>
      </x:c>
      <x:c r="F12" s="9" t="str">
        <x:v>ООО «СеверМеталл»</x:v>
      </x:c>
      <x:c r="G12" s="36" t="n">
        <x:f>VLOOKUP(C12,'Справочник номенклатуры'!$A$2:$H$21,5,FALSE)</x:f>
        <x:v>8500</x:v>
      </x:c>
      <x:c r="H12" s="36" t="n">
        <x:f>E12*G12</x:f>
        <x:v>42500</x:v>
      </x:c>
    </x:row>
    <x:row r="13">
      <x:c r="A13" s="9" t="str">
        <x:v>ПО-012</x:v>
      </x:c>
      <x:c r="B13" s="35" t="str">
        <x:v>22.09.2026</x:v>
      </x:c>
      <x:c r="C13" s="9" t="str">
        <x:v>Т-012</x:v>
      </x:c>
      <x:c r="D13" s="9" t="str">
        <x:f>VLOOKUP(C13,'Справочник номенклатуры'!$A$2:$H$21,2,FALSE)</x:f>
        <x:v>Стул офисный</x:v>
      </x:c>
      <x:c r="E13" s="9" t="n">
        <x:v>8</x:v>
      </x:c>
      <x:c r="F13" s="9" t="str">
        <x:v>ООО «Крепёж-Сервис»</x:v>
      </x:c>
      <x:c r="G13" s="36" t="n">
        <x:f>VLOOKUP(C13,'Справочник номенклатуры'!$A$2:$H$21,5,FALSE)</x:f>
        <x:v>4200</x:v>
      </x:c>
      <x:c r="H13" s="36" t="n">
        <x:f>E13*G13</x:f>
        <x:v>33600</x:v>
      </x:c>
    </x:row>
    <x:row r="14">
      <x:c r="A14" s="9" t="str">
        <x:v>ПО-013</x:v>
      </x:c>
      <x:c r="B14" s="35" t="str">
        <x:v>24.09.2026</x:v>
      </x:c>
      <x:c r="C14" s="9" t="str">
        <x:v>Т-013</x:v>
      </x:c>
      <x:c r="D14" s="9" t="str">
        <x:f>VLOOKUP(C14,'Справочник номенклатуры'!$A$2:$H$21,2,FALSE)</x:f>
        <x:v>Стеллаж металлический</x:v>
      </x:c>
      <x:c r="E14" s="9" t="n">
        <x:v>6</x:v>
      </x:c>
      <x:c r="F14" s="9" t="str">
        <x:v>ООО «СеверМеталл»</x:v>
      </x:c>
      <x:c r="G14" s="36" t="n">
        <x:f>VLOOKUP(C14,'Справочник номенклатуры'!$A$2:$H$21,5,FALSE)</x:f>
        <x:v>6200</x:v>
      </x:c>
      <x:c r="H14" s="36" t="n">
        <x:f>E14*G14</x:f>
        <x:v>37200</x:v>
      </x:c>
    </x:row>
    <x:row r="15">
      <x:c r="A15" s="9" t="str">
        <x:v>ПО-014</x:v>
      </x:c>
      <x:c r="B15" s="35" t="str">
        <x:v>26.09.2026</x:v>
      </x:c>
      <x:c r="C15" s="9" t="str">
        <x:v>Т-014</x:v>
      </x:c>
      <x:c r="D15" s="9" t="str">
        <x:f>VLOOKUP(C15,'Справочник номенклатуры'!$A$2:$H$21,2,FALSE)</x:f>
        <x:v>Шкаф инструментальный</x:v>
      </x:c>
      <x:c r="E15" s="9" t="n">
        <x:v>3</x:v>
      </x:c>
      <x:c r="F15" s="9" t="str">
        <x:v>ООО «СеверМеталл»</x:v>
      </x:c>
      <x:c r="G15" s="36" t="n">
        <x:f>VLOOKUP(C15,'Справочник номенклатуры'!$A$2:$H$21,5,FALSE)</x:f>
        <x:v>11800</x:v>
      </x:c>
      <x:c r="H15" s="36" t="n">
        <x:f>E15*G15</x:f>
        <x:v>35400</x:v>
      </x:c>
    </x:row>
    <x:row r="16">
      <x:c r="A16" s="9" t="str">
        <x:v>ПО-015</x:v>
      </x:c>
      <x:c r="B16" s="35" t="str">
        <x:v>28.09.2026</x:v>
      </x:c>
      <x:c r="C16" s="9" t="str">
        <x:v>Т-015</x:v>
      </x:c>
      <x:c r="D16" s="9" t="str">
        <x:f>VLOOKUP(C16,'Справочник номенклатуры'!$A$2:$H$21,2,FALSE)</x:f>
        <x:v>Тележка инструментальная</x:v>
      </x:c>
      <x:c r="E16" s="9" t="n">
        <x:v>4</x:v>
      </x:c>
      <x:c r="F16" s="9" t="str">
        <x:v>ООО «Крепёж-Сервис»</x:v>
      </x:c>
      <x:c r="G16" s="36" t="n">
        <x:f>VLOOKUP(C16,'Справочник номенклатуры'!$A$2:$H$21,5,FALSE)</x:f>
        <x:v>9600</x:v>
      </x:c>
      <x:c r="H16" s="36" t="n">
        <x:f>E16*G16</x:f>
        <x:v>38400</x:v>
      </x:c>
    </x:row>
  </x:sheetData>
  <x:dataValidations count="2">
    <x:dataValidation type="list" sqref="C2:C16">
      <x:formula1>'Справочник номенклатуры'!$A$2:$A$21</x:formula1>
    </x:dataValidation>
    <x:dataValidation type="list" sqref="F2:F16">
      <x:formula1>'Справочник контрагентов'!$B$2:$B$10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8" hidden="0" customWidth="1"/>
    <x:col min="5" max="5" width="17" hidden="0" customWidth="1"/>
    <x:col min="6" max="6" width="28" hidden="0" customWidth="1"/>
    <x:col min="7" max="7" width="20" hidden="0" customWidth="1"/>
    <x:col min="8" max="8" width="18" hidden="0" customWidth="1"/>
  </x:cols>
  <x:sheetData>
    <x:row r="1">
      <x:c r="A1" s="34" t="str">
        <x:v>№ ордера</x:v>
      </x:c>
      <x:c r="B1" s="34" t="str">
        <x:v>Дата</x:v>
      </x:c>
      <x:c r="C1" s="34" t="str">
        <x:v>Код товара</x:v>
      </x:c>
      <x:c r="D1" s="34" t="str">
        <x:v>Наименование</x:v>
      </x:c>
      <x:c r="E1" s="34" t="str">
        <x:v>Количество (шт.)</x:v>
      </x:c>
      <x:c r="F1" s="34" t="str">
        <x:v>Покупатель</x:v>
      </x:c>
      <x:c r="G1" s="34" t="str">
        <x:v>Цена продажи (руб.)</x:v>
      </x:c>
      <x:c r="H1" s="34" t="str">
        <x:v>Сумма (руб.)</x:v>
      </x:c>
    </x:row>
    <x:row r="2">
      <x:c r="A2" s="9" t="str">
        <x:v>РО-001</x:v>
      </x:c>
      <x:c r="B2" s="35" t="str">
        <x:v>02.09.2026</x:v>
      </x:c>
      <x:c r="C2" s="9" t="str">
        <x:v>Т-001</x:v>
      </x:c>
      <x:c r="D2" s="9" t="str">
        <x:f>VLOOKUP(C2,'Справочник номенклатуры'!$A$2:$H$21,2,FALSE)</x:f>
        <x:v>Лист стальной 1 мм</x:v>
      </x:c>
      <x:c r="E2" s="9" t="n">
        <x:v>70</x:v>
      </x:c>
      <x:c r="F2" s="9" t="str">
        <x:v>ООО «ОфисПроект»</x:v>
      </x:c>
      <x:c r="G2" s="36" t="n">
        <x:f>VLOOKUP(C2,'Справочник номенклатуры'!$A$2:$H$21,6,FALSE)</x:f>
        <x:v>96</x:v>
      </x:c>
      <x:c r="H2" s="36" t="n">
        <x:f>E2*G2</x:f>
        <x:v>6720</x:v>
      </x:c>
    </x:row>
    <x:row r="3">
      <x:c r="A3" s="9" t="str">
        <x:v>РО-002</x:v>
      </x:c>
      <x:c r="B3" s="35" t="str">
        <x:v>05.09.2026</x:v>
      </x:c>
      <x:c r="C3" s="9" t="str">
        <x:v>Т-003</x:v>
      </x:c>
      <x:c r="D3" s="9" t="str">
        <x:f>VLOOKUP(C3,'Справочник номенклатуры'!$A$2:$H$21,2,FALSE)</x:f>
        <x:v>Фанера берёзовая 12 мм</x:v>
      </x:c>
      <x:c r="E3" s="9" t="n">
        <x:v>25</x:v>
      </x:c>
      <x:c r="F3" s="9" t="str">
        <x:v>АО «РегионСтрой»</x:v>
      </x:c>
      <x:c r="G3" s="36" t="n">
        <x:f>VLOOKUP(C3,'Справочник номенклатуры'!$A$2:$H$21,6,FALSE)</x:f>
        <x:v>1750</x:v>
      </x:c>
      <x:c r="H3" s="36" t="n">
        <x:f>E3*G3</x:f>
        <x:v>43750</x:v>
      </x:c>
    </x:row>
    <x:row r="4">
      <x:c r="A4" s="9" t="str">
        <x:v>РО-003</x:v>
      </x:c>
      <x:c r="B4" s="35" t="str">
        <x:v>07.09.2026</x:v>
      </x:c>
      <x:c r="C4" s="9" t="str">
        <x:v>Т-005</x:v>
      </x:c>
      <x:c r="D4" s="9" t="str">
        <x:f>VLOOKUP(C4,'Справочник номенклатуры'!$A$2:$H$21,2,FALSE)</x:f>
        <x:v>Гранулят полимерный</x:v>
      </x:c>
      <x:c r="E4" s="9" t="n">
        <x:v>80</x:v>
      </x:c>
      <x:c r="F4" s="9" t="str">
        <x:v>ООО «СкладСервис»</x:v>
      </x:c>
      <x:c r="G4" s="36" t="n">
        <x:f>VLOOKUP(C4,'Справочник номенклатуры'!$A$2:$H$21,6,FALSE)</x:f>
        <x:v>275</x:v>
      </x:c>
      <x:c r="H4" s="36" t="n">
        <x:f>E4*G4</x:f>
        <x:v>22000</x:v>
      </x:c>
    </x:row>
    <x:row r="5">
      <x:c r="A5" s="9" t="str">
        <x:v>РО-004</x:v>
      </x:c>
      <x:c r="B5" s="35" t="str">
        <x:v>09.09.2026</x:v>
      </x:c>
      <x:c r="C5" s="9" t="str">
        <x:v>Т-006</x:v>
      </x:c>
      <x:c r="D5" s="9" t="str">
        <x:f>VLOOKUP(C5,'Справочник номенклатуры'!$A$2:$H$21,2,FALSE)</x:f>
        <x:v>Заготовка металлическая</x:v>
      </x:c>
      <x:c r="E5" s="9" t="n">
        <x:v>30</x:v>
      </x:c>
      <x:c r="F5" s="9" t="str">
        <x:v>ООО «МастерМебель»</x:v>
      </x:c>
      <x:c r="G5" s="36" t="n">
        <x:f>VLOOKUP(C5,'Справочник номенклатуры'!$A$2:$H$21,6,FALSE)</x:f>
        <x:v>355</x:v>
      </x:c>
      <x:c r="H5" s="36" t="n">
        <x:f>E5*G5</x:f>
        <x:v>10650</x:v>
      </x:c>
    </x:row>
    <x:row r="6">
      <x:c r="A6" s="9" t="str">
        <x:v>РО-005</x:v>
      </x:c>
      <x:c r="B6" s="35" t="str">
        <x:v>11.09.2026</x:v>
      </x:c>
      <x:c r="C6" s="9" t="str">
        <x:v>Т-008</x:v>
      </x:c>
      <x:c r="D6" s="9" t="str">
        <x:f>VLOOKUP(C6,'Справочник номенклатуры'!$A$2:$H$21,2,FALSE)</x:f>
        <x:v>Панель облицовочная</x:v>
      </x:c>
      <x:c r="E6" s="9" t="n">
        <x:v>25</x:v>
      </x:c>
      <x:c r="F6" s="9" t="str">
        <x:v>ООО «ТехноПарк»</x:v>
      </x:c>
      <x:c r="G6" s="36" t="n">
        <x:f>VLOOKUP(C6,'Справочник номенклатуры'!$A$2:$H$21,6,FALSE)</x:f>
        <x:v>1040</x:v>
      </x:c>
      <x:c r="H6" s="36" t="n">
        <x:f>E6*G6</x:f>
        <x:v>26000</x:v>
      </x:c>
    </x:row>
    <x:row r="7">
      <x:c r="A7" s="9" t="str">
        <x:v>РО-006</x:v>
      </x:c>
      <x:c r="B7" s="35" t="str">
        <x:v>13.09.2026</x:v>
      </x:c>
      <x:c r="C7" s="9" t="str">
        <x:v>Т-010</x:v>
      </x:c>
      <x:c r="D7" s="9" t="str">
        <x:f>VLOOKUP(C7,'Справочник номенклатуры'!$A$2:$H$21,2,FALSE)</x:f>
        <x:v>Жгут проводов</x:v>
      </x:c>
      <x:c r="E7" s="9" t="n">
        <x:v>10</x:v>
      </x:c>
      <x:c r="F7" s="9" t="str">
        <x:v>ООО «Вектор»</x:v>
      </x:c>
      <x:c r="G7" s="36" t="n">
        <x:f>VLOOKUP(C7,'Справочник номенклатуры'!$A$2:$H$21,6,FALSE)</x:f>
        <x:v>380</x:v>
      </x:c>
      <x:c r="H7" s="36" t="n">
        <x:f>E7*G7</x:f>
        <x:v>3800</x:v>
      </x:c>
    </x:row>
    <x:row r="8">
      <x:c r="A8" s="9" t="str">
        <x:v>РО-007</x:v>
      </x:c>
      <x:c r="B8" s="35" t="str">
        <x:v>15.09.2026</x:v>
      </x:c>
      <x:c r="C8" s="9" t="str">
        <x:v>Т-011</x:v>
      </x:c>
      <x:c r="D8" s="9" t="str">
        <x:f>VLOOKUP(C8,'Справочник номенклатуры'!$A$2:$H$21,2,FALSE)</x:f>
        <x:v>Стол производственный</x:v>
      </x:c>
      <x:c r="E8" s="9" t="n">
        <x:v>4</x:v>
      </x:c>
      <x:c r="F8" s="9" t="str">
        <x:v>ООО «ОфисПроект»</x:v>
      </x:c>
      <x:c r="G8" s="36" t="n">
        <x:f>VLOOKUP(C8,'Справочник номенклатуры'!$A$2:$H$21,6,FALSE)</x:f>
        <x:v>10900</x:v>
      </x:c>
      <x:c r="H8" s="36" t="n">
        <x:f>E8*G8</x:f>
        <x:v>43600</x:v>
      </x:c>
    </x:row>
    <x:row r="9">
      <x:c r="A9" s="9" t="str">
        <x:v>РО-008</x:v>
      </x:c>
      <x:c r="B9" s="35" t="str">
        <x:v>17.09.2026</x:v>
      </x:c>
      <x:c r="C9" s="9" t="str">
        <x:v>Т-012</x:v>
      </x:c>
      <x:c r="D9" s="9" t="str">
        <x:f>VLOOKUP(C9,'Справочник номенклатуры'!$A$2:$H$21,2,FALSE)</x:f>
        <x:v>Стул офисный</x:v>
      </x:c>
      <x:c r="E9" s="9" t="n">
        <x:v>12</x:v>
      </x:c>
      <x:c r="F9" s="9" t="str">
        <x:v>АО «РегионСтрой»</x:v>
      </x:c>
      <x:c r="G9" s="36" t="n">
        <x:f>VLOOKUP(C9,'Справочник номенклатуры'!$A$2:$H$21,6,FALSE)</x:f>
        <x:v>6900</x:v>
      </x:c>
      <x:c r="H9" s="36" t="n">
        <x:f>E9*G9</x:f>
        <x:v>82800</x:v>
      </x:c>
    </x:row>
    <x:row r="10">
      <x:c r="A10" s="9" t="str">
        <x:v>РО-009</x:v>
      </x:c>
      <x:c r="B10" s="35" t="str">
        <x:v>19.09.2026</x:v>
      </x:c>
      <x:c r="C10" s="9" t="str">
        <x:v>Т-013</x:v>
      </x:c>
      <x:c r="D10" s="9" t="str">
        <x:f>VLOOKUP(C10,'Справочник номенклатуры'!$A$2:$H$21,2,FALSE)</x:f>
        <x:v>Стеллаж металлический</x:v>
      </x:c>
      <x:c r="E10" s="9" t="n">
        <x:v>10</x:v>
      </x:c>
      <x:c r="F10" s="9" t="str">
        <x:v>ООО «СкладСервис»</x:v>
      </x:c>
      <x:c r="G10" s="36" t="n">
        <x:f>VLOOKUP(C10,'Справочник номенклатуры'!$A$2:$H$21,6,FALSE)</x:f>
        <x:v>9800</x:v>
      </x:c>
      <x:c r="H10" s="36" t="n">
        <x:f>E10*G10</x:f>
        <x:v>98000</x:v>
      </x:c>
    </x:row>
    <x:row r="11">
      <x:c r="A11" s="9" t="str">
        <x:v>РО-010</x:v>
      </x:c>
      <x:c r="B11" s="35" t="str">
        <x:v>21.09.2026</x:v>
      </x:c>
      <x:c r="C11" s="9" t="str">
        <x:v>Т-015</x:v>
      </x:c>
      <x:c r="D11" s="9" t="str">
        <x:f>VLOOKUP(C11,'Справочник номенклатуры'!$A$2:$H$21,2,FALSE)</x:f>
        <x:v>Тележка инструментальная</x:v>
      </x:c>
      <x:c r="E11" s="9" t="n">
        <x:v>7</x:v>
      </x:c>
      <x:c r="F11" s="9" t="str">
        <x:v>ООО «МастерМебель»</x:v>
      </x:c>
      <x:c r="G11" s="36" t="n">
        <x:f>VLOOKUP(C11,'Справочник номенклатуры'!$A$2:$H$21,6,FALSE)</x:f>
        <x:v>14900</x:v>
      </x:c>
      <x:c r="H11" s="36" t="n">
        <x:f>E11*G11</x:f>
        <x:v>104300</x:v>
      </x:c>
    </x:row>
    <x:row r="12">
      <x:c r="A12" s="9" t="str">
        <x:v>РО-011</x:v>
      </x:c>
      <x:c r="B12" s="35" t="str">
        <x:v>23.09.2026</x:v>
      </x:c>
      <x:c r="C12" s="9" t="str">
        <x:v>Т-016</x:v>
      </x:c>
      <x:c r="D12" s="9" t="str">
        <x:f>VLOOKUP(C12,'Справочник номенклатуры'!$A$2:$H$21,2,FALSE)</x:f>
        <x:v>Саморезы 4×30 (уп.)</x:v>
      </x:c>
      <x:c r="E12" s="9" t="n">
        <x:v>20</x:v>
      </x:c>
      <x:c r="F12" s="9" t="str">
        <x:v>ООО «ТехноПарк»</x:v>
      </x:c>
      <x:c r="G12" s="36" t="n">
        <x:f>VLOOKUP(C12,'Справочник номенклатуры'!$A$2:$H$21,6,FALSE)</x:f>
        <x:v>320</x:v>
      </x:c>
      <x:c r="H12" s="36" t="n">
        <x:f>E12*G12</x:f>
        <x:v>6400</x:v>
      </x:c>
    </x:row>
    <x:row r="13">
      <x:c r="A13" s="9" t="str">
        <x:v>РО-012</x:v>
      </x:c>
      <x:c r="B13" s="35" t="str">
        <x:v>24.09.2026</x:v>
      </x:c>
      <x:c r="C13" s="9" t="str">
        <x:v>Т-017</x:v>
      </x:c>
      <x:c r="D13" s="9" t="str">
        <x:f>VLOOKUP(C13,'Справочник номенклатуры'!$A$2:$H$21,2,FALSE)</x:f>
        <x:v>Болты М8 (уп.)</x:v>
      </x:c>
      <x:c r="E13" s="9" t="n">
        <x:v>5</x:v>
      </x:c>
      <x:c r="F13" s="9" t="str">
        <x:v>ООО «Вектор»</x:v>
      </x:c>
      <x:c r="G13" s="36" t="n">
        <x:f>VLOOKUP(C13,'Справочник номенклатуры'!$A$2:$H$21,6,FALSE)</x:f>
        <x:v>285</x:v>
      </x:c>
      <x:c r="H13" s="36" t="n">
        <x:f>E13*G13</x:f>
        <x:v>1425</x:v>
      </x:c>
    </x:row>
    <x:row r="14">
      <x:c r="A14" s="9" t="str">
        <x:v>РО-013</x:v>
      </x:c>
      <x:c r="B14" s="35" t="str">
        <x:v>25.09.2026</x:v>
      </x:c>
      <x:c r="C14" s="9" t="str">
        <x:v>Т-018</x:v>
      </x:c>
      <x:c r="D14" s="9" t="str">
        <x:f>VLOOKUP(C14,'Справочник номенклатуры'!$A$2:$H$21,2,FALSE)</x:f>
        <x:v>Лента упаковочная</x:v>
      </x:c>
      <x:c r="E14" s="9" t="n">
        <x:v>30</x:v>
      </x:c>
      <x:c r="F14" s="9" t="str">
        <x:v>ООО «ОфисПроект»</x:v>
      </x:c>
      <x:c r="G14" s="36" t="n">
        <x:f>VLOOKUP(C14,'Справочник номенклатуры'!$A$2:$H$21,6,FALSE)</x:f>
        <x:v>165</x:v>
      </x:c>
      <x:c r="H14" s="36" t="n">
        <x:f>E14*G14</x:f>
        <x:v>4950</x:v>
      </x:c>
    </x:row>
    <x:row r="15">
      <x:c r="A15" s="9" t="str">
        <x:v>РО-014</x:v>
      </x:c>
      <x:c r="B15" s="35" t="str">
        <x:v>27.09.2026</x:v>
      </x:c>
      <x:c r="C15" s="9" t="str">
        <x:v>Т-019</x:v>
      </x:c>
      <x:c r="D15" s="9" t="str">
        <x:f>VLOOKUP(C15,'Справочник номенклатуры'!$A$2:$H$21,2,FALSE)</x:f>
        <x:v>Перчатки рабочие</x:v>
      </x:c>
      <x:c r="E15" s="9" t="n">
        <x:v>10</x:v>
      </x:c>
      <x:c r="F15" s="9" t="str">
        <x:v>АО «РегионСтрой»</x:v>
      </x:c>
      <x:c r="G15" s="36" t="n">
        <x:f>VLOOKUP(C15,'Справочник номенклатуры'!$A$2:$H$21,6,FALSE)</x:f>
        <x:v>120</x:v>
      </x:c>
      <x:c r="H15" s="36" t="n">
        <x:f>E15*G15</x:f>
        <x:v>1200</x:v>
      </x:c>
    </x:row>
    <x:row r="16">
      <x:c r="A16" s="9" t="str">
        <x:v>РО-015</x:v>
      </x:c>
      <x:c r="B16" s="35" t="str">
        <x:v>29.09.2026</x:v>
      </x:c>
      <x:c r="C16" s="9" t="str">
        <x:v>Т-020</x:v>
      </x:c>
      <x:c r="D16" s="9" t="str">
        <x:f>VLOOKUP(C16,'Справочник номенклатуры'!$A$2:$H$21,2,FALSE)</x:f>
        <x:v>Растворитель технический</x:v>
      </x:c>
      <x:c r="E16" s="9" t="n">
        <x:v>15</x:v>
      </x:c>
      <x:c r="F16" s="9" t="str">
        <x:v>ООО «СкладСервис»</x:v>
      </x:c>
      <x:c r="G16" s="36" t="n">
        <x:f>VLOOKUP(C16,'Справочник номенклатуры'!$A$2:$H$21,6,FALSE)</x:f>
        <x:v>250</x:v>
      </x:c>
      <x:c r="H16" s="36" t="n">
        <x:f>E16*G16</x:f>
        <x:v>3750</x:v>
      </x:c>
    </x:row>
  </x:sheetData>
  <x:dataValidations count="2">
    <x:dataValidation type="list" sqref="C2:C16">
      <x:formula1>'Справочник номенклатуры'!$A$2:$A$21</x:formula1>
    </x:dataValidation>
    <x:dataValidation type="list" sqref="F2:F16">
      <x:formula1>'Справочник контрагентов'!$B$11:$B$16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13" hidden="0" customWidth="1"/>
    <x:col min="4" max="4" width="28" hidden="0" customWidth="1"/>
    <x:col min="5" max="5" width="17" hidden="0" customWidth="1"/>
    <x:col min="6" max="6" width="28" hidden="0" customWidth="1"/>
    <x:col min="7" max="7" width="20" hidden="0" customWidth="1"/>
    <x:col min="8" max="8" width="18" hidden="0" customWidth="1"/>
  </x:cols>
  <x:sheetData>
    <x:row r="1">
      <x:c r="A1" s="34" t="str">
        <x:v>Код товара</x:v>
      </x:c>
      <x:c r="B1" s="34" t="str">
        <x:v>Наименование</x:v>
      </x:c>
      <x:c r="C1" s="34" t="str">
        <x:v>Начальный остаток</x:v>
      </x:c>
      <x:c r="D1" s="34" t="str">
        <x:v>Всего приход</x:v>
      </x:c>
      <x:c r="E1" s="34" t="str">
        <x:v>Всего расход</x:v>
      </x:c>
      <x:c r="F1" s="34" t="str">
        <x:v>Конечный остаток</x:v>
      </x:c>
      <x:c r="G1" s="34" t="str">
        <x:v>Мин. остаток</x:v>
      </x:c>
      <x:c r="H1" s="34" t="str">
        <x:v>Статус</x:v>
      </x:c>
    </x:row>
    <x:row r="2">
      <x:c r="A2" s="9" t="str">
        <x:v>Т-001</x:v>
      </x:c>
      <x:c r="B2" s="9" t="str">
        <x:f>VLOOKUP(A2,'Справочник номенклатуры'!$A$2:$H$21,2,FALSE)</x:f>
        <x:v>Лист стальной 1 мм</x:v>
      </x:c>
      <x:c r="C2" s="14" t="n">
        <x:v>130</x:v>
      </x:c>
      <x:c r="D2" s="14" t="n">
        <x:f>SUMIF('Приходные ордера'!$C$2:$C$16,A2,'Приходные ордера'!$E$2:$E$16)</x:f>
        <x:v>40</x:v>
      </x:c>
      <x:c r="E2" s="14" t="n">
        <x:f>SUMIF('Расходные ордера'!$C$2:$C$16,A2,'Расходные ордера'!$E$2:$E$16)</x:f>
        <x:v>70</x:v>
      </x:c>
      <x:c r="F2" s="14" t="n">
        <x:f>C2+D2-E2</x:f>
        <x:v>100</x:v>
      </x:c>
      <x:c r="G2" s="14" t="n">
        <x:f>VLOOKUP(A2,'Справочник номенклатуры'!$A$2:$H$21,7,FALSE)</x:f>
        <x:v>120</x:v>
      </x:c>
      <x:c r="H2" s="9" t="str">
        <x:f>IF(F2&lt;G2,"Заказать","ОК")</x:f>
        <x:v>Заказать</x:v>
      </x:c>
    </x:row>
    <x:row r="3">
      <x:c r="A3" s="9" t="str">
        <x:v>Т-002</x:v>
      </x:c>
      <x:c r="B3" s="9" t="str">
        <x:f>VLOOKUP(A3,'Справочник номенклатуры'!$A$2:$H$21,2,FALSE)</x:f>
        <x:v>Профиль алюминиевый</x:v>
      </x:c>
      <x:c r="C3" s="14" t="n">
        <x:v>90</x:v>
      </x:c>
      <x:c r="D3" s="14" t="n">
        <x:f>SUMIF('Приходные ордера'!$C$2:$C$16,A3,'Приходные ордера'!$E$2:$E$16)</x:f>
        <x:v>30</x:v>
      </x:c>
      <x:c r="E3" s="14" t="n">
        <x:f>SUMIF('Расходные ордера'!$C$2:$C$16,A3,'Расходные ордера'!$E$2:$E$16)</x:f>
        <x:v>0</x:v>
      </x:c>
      <x:c r="F3" s="14" t="n">
        <x:f>C3+D3-E3</x:f>
        <x:v>120</x:v>
      </x:c>
      <x:c r="G3" s="14" t="n">
        <x:f>VLOOKUP(A3,'Справочник номенклатуры'!$A$2:$H$21,7,FALSE)</x:f>
        <x:v>80</x:v>
      </x:c>
      <x:c r="H3" s="9" t="str">
        <x:f>IF(F3&lt;G3,"Заказать","ОК")</x:f>
        <x:v>ОК</x:v>
      </x:c>
    </x:row>
    <x:row r="4">
      <x:c r="A4" s="9" t="str">
        <x:v>Т-003</x:v>
      </x:c>
      <x:c r="B4" s="9" t="str">
        <x:f>VLOOKUP(A4,'Справочник номенклатуры'!$A$2:$H$21,2,FALSE)</x:f>
        <x:v>Фанера берёзовая 12 мм</x:v>
      </x:c>
      <x:c r="C4" s="14" t="n">
        <x:v>40</x:v>
      </x:c>
      <x:c r="D4" s="14" t="n">
        <x:f>SUMIF('Приходные ордера'!$C$2:$C$16,A4,'Приходные ордера'!$E$2:$E$16)</x:f>
        <x:v>15</x:v>
      </x:c>
      <x:c r="E4" s="14" t="n">
        <x:f>SUMIF('Расходные ордера'!$C$2:$C$16,A4,'Расходные ордера'!$E$2:$E$16)</x:f>
        <x:v>25</x:v>
      </x:c>
      <x:c r="F4" s="14" t="n">
        <x:f>C4+D4-E4</x:f>
        <x:v>30</x:v>
      </x:c>
      <x:c r="G4" s="14" t="n">
        <x:f>VLOOKUP(A4,'Справочник номенклатуры'!$A$2:$H$21,7,FALSE)</x:f>
        <x:v>35</x:v>
      </x:c>
      <x:c r="H4" s="9" t="str">
        <x:f>IF(F4&lt;G4,"Заказать","ОК")</x:f>
        <x:v>Заказать</x:v>
      </x:c>
    </x:row>
    <x:row r="5">
      <x:c r="A5" s="9" t="str">
        <x:v>Т-004</x:v>
      </x:c>
      <x:c r="B5" s="9" t="str">
        <x:f>VLOOKUP(A5,'Справочник номенклатуры'!$A$2:$H$21,2,FALSE)</x:f>
        <x:v>Краска порошковая</x:v>
      </x:c>
      <x:c r="C5" s="14" t="n">
        <x:v>45</x:v>
      </x:c>
      <x:c r="D5" s="14" t="n">
        <x:f>SUMIF('Приходные ордера'!$C$2:$C$16,A5,'Приходные ордера'!$E$2:$E$16)</x:f>
        <x:v>20</x:v>
      </x:c>
      <x:c r="E5" s="14" t="n">
        <x:f>SUMIF('Расходные ордера'!$C$2:$C$16,A5,'Расходные ордера'!$E$2:$E$16)</x:f>
        <x:v>0</x:v>
      </x:c>
      <x:c r="F5" s="14" t="n">
        <x:f>C5+D5-E5</x:f>
        <x:v>65</x:v>
      </x:c>
      <x:c r="G5" s="14" t="n">
        <x:f>VLOOKUP(A5,'Справочник номенклатуры'!$A$2:$H$21,7,FALSE)</x:f>
        <x:v>40</x:v>
      </x:c>
      <x:c r="H5" s="9" t="str">
        <x:f>IF(F5&lt;G5,"Заказать","ОК")</x:f>
        <x:v>ОК</x:v>
      </x:c>
    </x:row>
    <x:row r="6">
      <x:c r="A6" s="9" t="str">
        <x:v>Т-005</x:v>
      </x:c>
      <x:c r="B6" s="9" t="str">
        <x:f>VLOOKUP(A6,'Справочник номенклатуры'!$A$2:$H$21,2,FALSE)</x:f>
        <x:v>Гранулят полимерный</x:v>
      </x:c>
      <x:c r="C6" s="14" t="n">
        <x:v>120</x:v>
      </x:c>
      <x:c r="D6" s="14" t="n">
        <x:f>SUMIF('Приходные ордера'!$C$2:$C$16,A6,'Приходные ордера'!$E$2:$E$16)</x:f>
        <x:v>50</x:v>
      </x:c>
      <x:c r="E6" s="14" t="n">
        <x:f>SUMIF('Расходные ордера'!$C$2:$C$16,A6,'Расходные ордера'!$E$2:$E$16)</x:f>
        <x:v>80</x:v>
      </x:c>
      <x:c r="F6" s="14" t="n">
        <x:f>C6+D6-E6</x:f>
        <x:v>90</x:v>
      </x:c>
      <x:c r="G6" s="14" t="n">
        <x:f>VLOOKUP(A6,'Справочник номенклатуры'!$A$2:$H$21,7,FALSE)</x:f>
        <x:v>100</x:v>
      </x:c>
      <x:c r="H6" s="9" t="str">
        <x:f>IF(F6&lt;G6,"Заказать","ОК")</x:f>
        <x:v>Заказать</x:v>
      </x:c>
    </x:row>
    <x:row r="7">
      <x:c r="A7" s="9" t="str">
        <x:v>Т-006</x:v>
      </x:c>
      <x:c r="B7" s="9" t="str">
        <x:f>VLOOKUP(A7,'Справочник номенклатуры'!$A$2:$H$21,2,FALSE)</x:f>
        <x:v>Заготовка металлическая</x:v>
      </x:c>
      <x:c r="C7" s="14" t="n">
        <x:v>65</x:v>
      </x:c>
      <x:c r="D7" s="14" t="n">
        <x:f>SUMIF('Приходные ордера'!$C$2:$C$16,A7,'Приходные ордера'!$E$2:$E$16)</x:f>
        <x:v>20</x:v>
      </x:c>
      <x:c r="E7" s="14" t="n">
        <x:f>SUMIF('Расходные ордера'!$C$2:$C$16,A7,'Расходные ордера'!$E$2:$E$16)</x:f>
        <x:v>30</x:v>
      </x:c>
      <x:c r="F7" s="14" t="n">
        <x:f>C7+D7-E7</x:f>
        <x:v>55</x:v>
      </x:c>
      <x:c r="G7" s="14" t="n">
        <x:f>VLOOKUP(A7,'Справочник номенклатуры'!$A$2:$H$21,7,FALSE)</x:f>
        <x:v>60</x:v>
      </x:c>
      <x:c r="H7" s="9" t="str">
        <x:f>IF(F7&lt;G7,"Заказать","ОК")</x:f>
        <x:v>Заказать</x:v>
      </x:c>
    </x:row>
    <x:row r="8">
      <x:c r="A8" s="9" t="str">
        <x:v>Т-007</x:v>
      </x:c>
      <x:c r="B8" s="9" t="str">
        <x:f>VLOOKUP(A8,'Справочник номенклатуры'!$A$2:$H$21,2,FALSE)</x:f>
        <x:v>Каркас сварной</x:v>
      </x:c>
      <x:c r="C8" s="14" t="n">
        <x:v>30</x:v>
      </x:c>
      <x:c r="D8" s="14" t="n">
        <x:f>SUMIF('Приходные ордера'!$C$2:$C$16,A8,'Приходные ордера'!$E$2:$E$16)</x:f>
        <x:v>10</x:v>
      </x:c>
      <x:c r="E8" s="14" t="n">
        <x:f>SUMIF('Расходные ордера'!$C$2:$C$16,A8,'Расходные ордера'!$E$2:$E$16)</x:f>
        <x:v>0</x:v>
      </x:c>
      <x:c r="F8" s="14" t="n">
        <x:f>C8+D8-E8</x:f>
        <x:v>40</x:v>
      </x:c>
      <x:c r="G8" s="14" t="n">
        <x:f>VLOOKUP(A8,'Справочник номенклатуры'!$A$2:$H$21,7,FALSE)</x:f>
        <x:v>25</x:v>
      </x:c>
      <x:c r="H8" s="9" t="str">
        <x:f>IF(F8&lt;G8,"Заказать","ОК")</x:f>
        <x:v>ОК</x:v>
      </x:c>
    </x:row>
    <x:row r="9">
      <x:c r="A9" s="9" t="str">
        <x:v>Т-008</x:v>
      </x:c>
      <x:c r="B9" s="9" t="str">
        <x:f>VLOOKUP(A9,'Справочник номенклатуры'!$A$2:$H$21,2,FALSE)</x:f>
        <x:v>Панель облицовочная</x:v>
      </x:c>
      <x:c r="C9" s="14" t="n">
        <x:v>35</x:v>
      </x:c>
      <x:c r="D9" s="14" t="n">
        <x:f>SUMIF('Приходные ордера'!$C$2:$C$16,A9,'Приходные ордера'!$E$2:$E$16)</x:f>
        <x:v>15</x:v>
      </x:c>
      <x:c r="E9" s="14" t="n">
        <x:f>SUMIF('Расходные ордера'!$C$2:$C$16,A9,'Расходные ордера'!$E$2:$E$16)</x:f>
        <x:v>25</x:v>
      </x:c>
      <x:c r="F9" s="14" t="n">
        <x:f>C9+D9-E9</x:f>
        <x:v>25</x:v>
      </x:c>
      <x:c r="G9" s="14" t="n">
        <x:f>VLOOKUP(A9,'Справочник номенклатуры'!$A$2:$H$21,7,FALSE)</x:f>
        <x:v>30</x:v>
      </x:c>
      <x:c r="H9" s="9" t="str">
        <x:f>IF(F9&lt;G9,"Заказать","ОК")</x:f>
        <x:v>Заказать</x:v>
      </x:c>
    </x:row>
    <x:row r="10">
      <x:c r="A10" s="9" t="str">
        <x:v>Т-009</x:v>
      </x:c>
      <x:c r="B10" s="9" t="str">
        <x:f>VLOOKUP(A10,'Справочник номенклатуры'!$A$2:$H$21,2,FALSE)</x:f>
        <x:v>Корпус пластиковый</x:v>
      </x:c>
      <x:c r="C10" s="14" t="n">
        <x:v>60</x:v>
      </x:c>
      <x:c r="D10" s="14" t="n">
        <x:f>SUMIF('Приходные ордера'!$C$2:$C$16,A10,'Приходные ордера'!$E$2:$E$16)</x:f>
        <x:v>25</x:v>
      </x:c>
      <x:c r="E10" s="14" t="n">
        <x:f>SUMIF('Расходные ордера'!$C$2:$C$16,A10,'Расходные ордера'!$E$2:$E$16)</x:f>
        <x:v>0</x:v>
      </x:c>
      <x:c r="F10" s="14" t="n">
        <x:f>C10+D10-E10</x:f>
        <x:v>85</x:v>
      </x:c>
      <x:c r="G10" s="14" t="n">
        <x:f>VLOOKUP(A10,'Справочник номенклатуры'!$A$2:$H$21,7,FALSE)</x:f>
        <x:v>45</x:v>
      </x:c>
      <x:c r="H10" s="9" t="str">
        <x:f>IF(F10&lt;G10,"Заказать","ОК")</x:f>
        <x:v>ОК</x:v>
      </x:c>
    </x:row>
    <x:row r="11">
      <x:c r="A11" s="9" t="str">
        <x:v>Т-010</x:v>
      </x:c>
      <x:c r="B11" s="9" t="str">
        <x:f>VLOOKUP(A11,'Справочник номенклатуры'!$A$2:$H$21,2,FALSE)</x:f>
        <x:v>Жгут проводов</x:v>
      </x:c>
      <x:c r="C11" s="14" t="n">
        <x:v>55</x:v>
      </x:c>
      <x:c r="D11" s="14" t="n">
        <x:f>SUMIF('Приходные ордера'!$C$2:$C$16,A11,'Приходные ордера'!$E$2:$E$16)</x:f>
        <x:v>20</x:v>
      </x:c>
      <x:c r="E11" s="14" t="n">
        <x:f>SUMIF('Расходные ордера'!$C$2:$C$16,A11,'Расходные ордера'!$E$2:$E$16)</x:f>
        <x:v>10</x:v>
      </x:c>
      <x:c r="F11" s="14" t="n">
        <x:f>C11+D11-E11</x:f>
        <x:v>65</x:v>
      </x:c>
      <x:c r="G11" s="14" t="n">
        <x:f>VLOOKUP(A11,'Справочник номенклатуры'!$A$2:$H$21,7,FALSE)</x:f>
        <x:v>50</x:v>
      </x:c>
      <x:c r="H11" s="9" t="str">
        <x:f>IF(F11&lt;G11,"Заказать","ОК")</x:f>
        <x:v>ОК</x:v>
      </x:c>
    </x:row>
    <x:row r="12">
      <x:c r="A12" s="9" t="str">
        <x:v>Т-011</x:v>
      </x:c>
      <x:c r="B12" s="9" t="str">
        <x:f>VLOOKUP(A12,'Справочник номенклатуры'!$A$2:$H$21,2,FALSE)</x:f>
        <x:v>Стол производственный</x:v>
      </x:c>
      <x:c r="C12" s="14" t="n">
        <x:v>10</x:v>
      </x:c>
      <x:c r="D12" s="14" t="n">
        <x:f>SUMIF('Приходные ордера'!$C$2:$C$16,A12,'Приходные ордера'!$E$2:$E$16)</x:f>
        <x:v>5</x:v>
      </x:c>
      <x:c r="E12" s="14" t="n">
        <x:f>SUMIF('Расходные ордера'!$C$2:$C$16,A12,'Расходные ордера'!$E$2:$E$16)</x:f>
        <x:v>4</x:v>
      </x:c>
      <x:c r="F12" s="14" t="n">
        <x:f>C12+D12-E12</x:f>
        <x:v>11</x:v>
      </x:c>
      <x:c r="G12" s="14" t="n">
        <x:f>VLOOKUP(A12,'Справочник номенклатуры'!$A$2:$H$21,7,FALSE)</x:f>
        <x:v>8</x:v>
      </x:c>
      <x:c r="H12" s="9" t="str">
        <x:f>IF(F12&lt;G12,"Заказать","ОК")</x:f>
        <x:v>ОК</x:v>
      </x:c>
    </x:row>
    <x:row r="13">
      <x:c r="A13" s="9" t="str">
        <x:v>Т-012</x:v>
      </x:c>
      <x:c r="B13" s="9" t="str">
        <x:f>VLOOKUP(A13,'Справочник номенклатуры'!$A$2:$H$21,2,FALSE)</x:f>
        <x:v>Стул офисный</x:v>
      </x:c>
      <x:c r="C13" s="14" t="n">
        <x:v>15</x:v>
      </x:c>
      <x:c r="D13" s="14" t="n">
        <x:f>SUMIF('Приходные ордера'!$C$2:$C$16,A13,'Приходные ордера'!$E$2:$E$16)</x:f>
        <x:v>8</x:v>
      </x:c>
      <x:c r="E13" s="14" t="n">
        <x:f>SUMIF('Расходные ордера'!$C$2:$C$16,A13,'Расходные ордера'!$E$2:$E$16)</x:f>
        <x:v>12</x:v>
      </x:c>
      <x:c r="F13" s="14" t="n">
        <x:f>C13+D13-E13</x:f>
        <x:v>11</x:v>
      </x:c>
      <x:c r="G13" s="14" t="n">
        <x:f>VLOOKUP(A13,'Справочник номенклатуры'!$A$2:$H$21,7,FALSE)</x:f>
        <x:v>12</x:v>
      </x:c>
      <x:c r="H13" s="9" t="str">
        <x:f>IF(F13&lt;G13,"Заказать","ОК")</x:f>
        <x:v>Заказать</x:v>
      </x:c>
    </x:row>
    <x:row r="14">
      <x:c r="A14" s="9" t="str">
        <x:v>Т-013</x:v>
      </x:c>
      <x:c r="B14" s="9" t="str">
        <x:f>VLOOKUP(A14,'Справочник номенклатуры'!$A$2:$H$21,2,FALSE)</x:f>
        <x:v>Стеллаж металлический</x:v>
      </x:c>
      <x:c r="C14" s="14" t="n">
        <x:v>12</x:v>
      </x:c>
      <x:c r="D14" s="14" t="n">
        <x:f>SUMIF('Приходные ордера'!$C$2:$C$16,A14,'Приходные ордера'!$E$2:$E$16)</x:f>
        <x:v>6</x:v>
      </x:c>
      <x:c r="E14" s="14" t="n">
        <x:f>SUMIF('Расходные ордера'!$C$2:$C$16,A14,'Расходные ордера'!$E$2:$E$16)</x:f>
        <x:v>10</x:v>
      </x:c>
      <x:c r="F14" s="14" t="n">
        <x:f>C14+D14-E14</x:f>
        <x:v>8</x:v>
      </x:c>
      <x:c r="G14" s="14" t="n">
        <x:f>VLOOKUP(A14,'Справочник номенклатуры'!$A$2:$H$21,7,FALSE)</x:f>
        <x:v>10</x:v>
      </x:c>
      <x:c r="H14" s="9" t="str">
        <x:f>IF(F14&lt;G14,"Заказать","ОК")</x:f>
        <x:v>Заказать</x:v>
      </x:c>
    </x:row>
    <x:row r="15">
      <x:c r="A15" s="9" t="str">
        <x:v>Т-014</x:v>
      </x:c>
      <x:c r="B15" s="9" t="str">
        <x:f>VLOOKUP(A15,'Справочник номенклатуры'!$A$2:$H$21,2,FALSE)</x:f>
        <x:v>Шкаф инструментальный</x:v>
      </x:c>
      <x:c r="C15" s="14" t="n">
        <x:v>7</x:v>
      </x:c>
      <x:c r="D15" s="14" t="n">
        <x:f>SUMIF('Приходные ордера'!$C$2:$C$16,A15,'Приходные ордера'!$E$2:$E$16)</x:f>
        <x:v>3</x:v>
      </x:c>
      <x:c r="E15" s="14" t="n">
        <x:f>SUMIF('Расходные ордера'!$C$2:$C$16,A15,'Расходные ордера'!$E$2:$E$16)</x:f>
        <x:v>0</x:v>
      </x:c>
      <x:c r="F15" s="14" t="n">
        <x:f>C15+D15-E15</x:f>
        <x:v>10</x:v>
      </x:c>
      <x:c r="G15" s="14" t="n">
        <x:f>VLOOKUP(A15,'Справочник номенклатуры'!$A$2:$H$21,7,FALSE)</x:f>
        <x:v>5</x:v>
      </x:c>
      <x:c r="H15" s="9" t="str">
        <x:f>IF(F15&lt;G15,"Заказать","ОК")</x:f>
        <x:v>ОК</x:v>
      </x:c>
    </x:row>
    <x:row r="16">
      <x:c r="A16" s="9" t="str">
        <x:v>Т-015</x:v>
      </x:c>
      <x:c r="B16" s="9" t="str">
        <x:f>VLOOKUP(A16,'Справочник номенклатуры'!$A$2:$H$21,2,FALSE)</x:f>
        <x:v>Тележка инструментальная</x:v>
      </x:c>
      <x:c r="C16" s="14" t="n">
        <x:v>8</x:v>
      </x:c>
      <x:c r="D16" s="14" t="n">
        <x:f>SUMIF('Приходные ордера'!$C$2:$C$16,A16,'Приходные ордера'!$E$2:$E$16)</x:f>
        <x:v>4</x:v>
      </x:c>
      <x:c r="E16" s="14" t="n">
        <x:f>SUMIF('Расходные ордера'!$C$2:$C$16,A16,'Расходные ордера'!$E$2:$E$16)</x:f>
        <x:v>7</x:v>
      </x:c>
      <x:c r="F16" s="14" t="n">
        <x:f>C16+D16-E16</x:f>
        <x:v>5</x:v>
      </x:c>
      <x:c r="G16" s="14" t="n">
        <x:f>VLOOKUP(A16,'Справочник номенклатуры'!$A$2:$H$21,7,FALSE)</x:f>
        <x:v>6</x:v>
      </x:c>
      <x:c r="H16" s="9" t="str">
        <x:f>IF(F16&lt;G16,"Заказать","ОК")</x:f>
        <x:v>Заказать</x:v>
      </x:c>
    </x:row>
    <x:row r="17">
      <x:c r="A17" s="9" t="str">
        <x:v>Т-016</x:v>
      </x:c>
      <x:c r="B17" s="9" t="str">
        <x:f>VLOOKUP(A17,'Справочник номенклатуры'!$A$2:$H$21,2,FALSE)</x:f>
        <x:v>Саморезы 4×30 (уп.)</x:v>
      </x:c>
      <x:c r="C17" s="14" t="n">
        <x:v>100</x:v>
      </x:c>
      <x:c r="D17" s="14" t="n">
        <x:f>SUMIF('Приходные ордера'!$C$2:$C$16,A17,'Приходные ордера'!$E$2:$E$16)</x:f>
        <x:v>0</x:v>
      </x:c>
      <x:c r="E17" s="14" t="n">
        <x:f>SUMIF('Расходные ордера'!$C$2:$C$16,A17,'Расходные ордера'!$E$2:$E$16)</x:f>
        <x:v>20</x:v>
      </x:c>
      <x:c r="F17" s="14" t="n">
        <x:f>C17+D17-E17</x:f>
        <x:v>80</x:v>
      </x:c>
      <x:c r="G17" s="14" t="n">
        <x:f>VLOOKUP(A17,'Справочник номенклатуры'!$A$2:$H$21,7,FALSE)</x:f>
        <x:v>90</x:v>
      </x:c>
      <x:c r="H17" s="9" t="str">
        <x:f>IF(F17&lt;G17,"Заказать","ОК")</x:f>
        <x:v>Заказать</x:v>
      </x:c>
    </x:row>
    <x:row r="18">
      <x:c r="A18" s="9" t="str">
        <x:v>Т-017</x:v>
      </x:c>
      <x:c r="B18" s="9" t="str">
        <x:f>VLOOKUP(A18,'Справочник номенклатуры'!$A$2:$H$21,2,FALSE)</x:f>
        <x:v>Болты М8 (уп.)</x:v>
      </x:c>
      <x:c r="C18" s="14" t="n">
        <x:v>80</x:v>
      </x:c>
      <x:c r="D18" s="14" t="n">
        <x:f>SUMIF('Приходные ордера'!$C$2:$C$16,A18,'Приходные ордера'!$E$2:$E$16)</x:f>
        <x:v>0</x:v>
      </x:c>
      <x:c r="E18" s="14" t="n">
        <x:f>SUMIF('Расходные ордера'!$C$2:$C$16,A18,'Расходные ордера'!$E$2:$E$16)</x:f>
        <x:v>5</x:v>
      </x:c>
      <x:c r="F18" s="14" t="n">
        <x:f>C18+D18-E18</x:f>
        <x:v>75</x:v>
      </x:c>
      <x:c r="G18" s="14" t="n">
        <x:f>VLOOKUP(A18,'Справочник номенклатуры'!$A$2:$H$21,7,FALSE)</x:f>
        <x:v>70</x:v>
      </x:c>
      <x:c r="H18" s="9" t="str">
        <x:f>IF(F18&lt;G18,"Заказать","ОК")</x:f>
        <x:v>ОК</x:v>
      </x:c>
    </x:row>
    <x:row r="19">
      <x:c r="A19" s="9" t="str">
        <x:v>Т-018</x:v>
      </x:c>
      <x:c r="B19" s="9" t="str">
        <x:f>VLOOKUP(A19,'Справочник номенклатуры'!$A$2:$H$21,2,FALSE)</x:f>
        <x:v>Лента упаковочная</x:v>
      </x:c>
      <x:c r="C19" s="14" t="n">
        <x:v>110</x:v>
      </x:c>
      <x:c r="D19" s="14" t="n">
        <x:f>SUMIF('Приходные ордера'!$C$2:$C$16,A19,'Приходные ордера'!$E$2:$E$16)</x:f>
        <x:v>0</x:v>
      </x:c>
      <x:c r="E19" s="14" t="n">
        <x:f>SUMIF('Расходные ордера'!$C$2:$C$16,A19,'Расходные ордера'!$E$2:$E$16)</x:f>
        <x:v>30</x:v>
      </x:c>
      <x:c r="F19" s="14" t="n">
        <x:f>C19+D19-E19</x:f>
        <x:v>80</x:v>
      </x:c>
      <x:c r="G19" s="14" t="n">
        <x:f>VLOOKUP(A19,'Справочник номенклатуры'!$A$2:$H$21,7,FALSE)</x:f>
        <x:v>100</x:v>
      </x:c>
      <x:c r="H19" s="9" t="str">
        <x:f>IF(F19&lt;G19,"Заказать","ОК")</x:f>
        <x:v>Заказать</x:v>
      </x:c>
    </x:row>
    <x:row r="20">
      <x:c r="A20" s="9" t="str">
        <x:v>Т-019</x:v>
      </x:c>
      <x:c r="B20" s="9" t="str">
        <x:f>VLOOKUP(A20,'Справочник номенклатуры'!$A$2:$H$21,2,FALSE)</x:f>
        <x:v>Перчатки рабочие</x:v>
      </x:c>
      <x:c r="C20" s="14" t="n">
        <x:v>160</x:v>
      </x:c>
      <x:c r="D20" s="14" t="n">
        <x:f>SUMIF('Приходные ордера'!$C$2:$C$16,A20,'Приходные ордера'!$E$2:$E$16)</x:f>
        <x:v>0</x:v>
      </x:c>
      <x:c r="E20" s="14" t="n">
        <x:f>SUMIF('Расходные ордера'!$C$2:$C$16,A20,'Расходные ордера'!$E$2:$E$16)</x:f>
        <x:v>10</x:v>
      </x:c>
      <x:c r="F20" s="14" t="n">
        <x:f>C20+D20-E20</x:f>
        <x:v>150</x:v>
      </x:c>
      <x:c r="G20" s="14" t="n">
        <x:f>VLOOKUP(A20,'Справочник номенклатуры'!$A$2:$H$21,7,FALSE)</x:f>
        <x:v>150</x:v>
      </x:c>
      <x:c r="H20" s="9" t="str">
        <x:f>IF(F20&lt;G20,"Заказать","ОК")</x:f>
        <x:v>ОК</x:v>
      </x:c>
    </x:row>
    <x:row r="21">
      <x:c r="A21" s="9" t="str">
        <x:v>Т-020</x:v>
      </x:c>
      <x:c r="B21" s="9" t="str">
        <x:f>VLOOKUP(A21,'Справочник номенклатуры'!$A$2:$H$21,2,FALSE)</x:f>
        <x:v>Растворитель технический</x:v>
      </x:c>
      <x:c r="C21" s="14" t="n">
        <x:v>60</x:v>
      </x:c>
      <x:c r="D21" s="14" t="n">
        <x:f>SUMIF('Приходные ордера'!$C$2:$C$16,A21,'Приходные ордера'!$E$2:$E$16)</x:f>
        <x:v>0</x:v>
      </x:c>
      <x:c r="E21" s="14" t="n">
        <x:f>SUMIF('Расходные ордера'!$C$2:$C$16,A21,'Расходные ордера'!$E$2:$E$16)</x:f>
        <x:v>15</x:v>
      </x:c>
      <x:c r="F21" s="14" t="n">
        <x:f>C21+D21-E21</x:f>
        <x:v>45</x:v>
      </x:c>
      <x:c r="G21" s="14" t="n">
        <x:f>VLOOKUP(A21,'Справочник номенклатуры'!$A$2:$H$21,7,FALSE)</x:f>
        <x:v>50</x:v>
      </x:c>
      <x:c r="H21" s="9" t="str">
        <x:f>IF(F21&lt;G21,"Заказать","ОК")</x:f>
        <x:v>Заказать</x:v>
      </x:c>
    </x:row>
  </x:sheetData>
  <x:conditionalFormatting sqref="H2:H21">
    <x:cfRule type="expression" dxfId="2" priority="1">
      <x:formula>H2="Заказать"</x:formula>
    </x:cfRule>
    <x:cfRule type="expression" dxfId="3" priority="2">
      <x:formula>H2="ОК"</x:formula>
    </x:cfRule>
  </x:conditionalFormatting>
  <x:pageMargins left="0.7" right="0.7" top="0.75" bottom="0.75" header="0.3" footer="0.3"/>
</x:worksheet>
</file>