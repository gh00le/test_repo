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71cea37b7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ик номенклатуры" sheetId="1" r:id="R0267f90aa6584164"/>
    <x:sheet xmlns:r="http://schemas.openxmlformats.org/officeDocument/2006/relationships" name="Справочник контрагентов" sheetId="2" r:id="R744e693ba105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0.00&quot;%&quot;"/>
    <x:numFmt numFmtId="203" formatCode="@"/>
  </x:numFmts>
  <x:fonts count="3">
    <x:font>
      <x:sz val="11"/>
      <x:name val="Carlito"/>
    </x:font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425ff04c347d5" /><Relationship Type="http://schemas.openxmlformats.org/officeDocument/2006/relationships/theme" Target="/xl/theme/theme1.xml" Id="Rceaf8587853e4c4a" /><Relationship Type="http://schemas.openxmlformats.org/officeDocument/2006/relationships/sharedStrings" Target="/xl/sharedStrings.xml" Id="R261c74ee2f1540ba" /><Relationship Type="http://schemas.openxmlformats.org/officeDocument/2006/relationships/worksheet" Target="/xl/worksheets/sheet1.xml" Id="R0267f90aa6584164" /><Relationship Type="http://schemas.openxmlformats.org/officeDocument/2006/relationships/worksheet" Target="/xl/worksheets/sheet2.xml" Id="R744e693ba105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24" hidden="0" customWidth="1"/>
    <x:col min="4" max="4" width="17" hidden="0" customWidth="1"/>
    <x:col min="5" max="5" width="20" hidden="0" customWidth="1"/>
    <x:col min="6" max="6" width="20" hidden="0" customWidth="1"/>
    <x:col min="7" max="7" width="24" hidden="0" customWidth="1"/>
    <x:col min="8" max="8" width="13" hidden="0" customWidth="1"/>
  </x:cols>
  <x:sheetData>
    <x:row r="1">
      <x:c r="A1" s="8" t="str">
        <x:v>Код товара</x:v>
      </x:c>
      <x:c r="B1" s="8" t="str">
        <x:v>Наименование товара</x:v>
      </x:c>
      <x:c r="C1" s="8" t="str">
        <x:v>Категория</x:v>
      </x:c>
      <x:c r="D1" s="8" t="str">
        <x:v>Единица измерения</x:v>
      </x:c>
      <x:c r="E1" s="8" t="str">
        <x:v>Цена закупки (руб.)</x:v>
      </x:c>
      <x:c r="F1" s="8" t="str">
        <x:v>Цена продажи (руб.)</x:v>
      </x:c>
      <x:c r="G1" s="8" t="str">
        <x:v>Минимальный остаток (шт.)</x:v>
      </x:c>
      <x:c r="H1" s="8" t="str">
        <x:v>Наценка, %</x:v>
      </x:c>
    </x:row>
    <x:row r="2">
      <x:c r="A2" s="9" t="str">
        <x:v>Т-001</x:v>
      </x:c>
      <x:c r="B2" s="9" t="str">
        <x:v>Лист стальной 1 мм</x:v>
      </x:c>
      <x:c r="C2" s="9" t="str">
        <x:v>Сырьё</x:v>
      </x:c>
      <x:c r="D2" s="9" t="str">
        <x:v>кг</x:v>
      </x:c>
      <x:c r="E2" s="12" t="n">
        <x:v>82</x:v>
      </x:c>
      <x:c r="F2" s="12" t="n">
        <x:v>96</x:v>
      </x:c>
      <x:c r="G2" s="14" t="n">
        <x:v>120</x:v>
      </x:c>
      <x:c r="H2" s="16" t="n">
        <x:f>(F2-E2)/E2*100</x:f>
        <x:v>17.073170731707318</x:v>
      </x:c>
    </x:row>
    <x:row r="3">
      <x:c r="A3" s="9" t="str">
        <x:v>Т-002</x:v>
      </x:c>
      <x:c r="B3" s="9" t="str">
        <x:v>Профиль алюминиевый</x:v>
      </x:c>
      <x:c r="C3" s="9" t="str">
        <x:v>Сырьё</x:v>
      </x:c>
      <x:c r="D3" s="9" t="str">
        <x:v>м</x:v>
      </x:c>
      <x:c r="E3" s="12" t="n">
        <x:v>210</x:v>
      </x:c>
      <x:c r="F3" s="12" t="n">
        <x:v>290</x:v>
      </x:c>
      <x:c r="G3" s="14" t="n">
        <x:v>80</x:v>
      </x:c>
      <x:c r="H3" s="16" t="n">
        <x:f>(F3-E3)/E3*100</x:f>
        <x:v>38.095238095238095</x:v>
      </x:c>
    </x:row>
    <x:row r="4">
      <x:c r="A4" s="9" t="str">
        <x:v>Т-003</x:v>
      </x:c>
      <x:c r="B4" s="9" t="str">
        <x:v>Фанера берёзовая 12 мм</x:v>
      </x:c>
      <x:c r="C4" s="9" t="str">
        <x:v>Сырьё</x:v>
      </x:c>
      <x:c r="D4" s="9" t="str">
        <x:v>шт.</x:v>
      </x:c>
      <x:c r="E4" s="12" t="n">
        <x:v>1450</x:v>
      </x:c>
      <x:c r="F4" s="12" t="n">
        <x:v>1750</x:v>
      </x:c>
      <x:c r="G4" s="14" t="n">
        <x:v>35</x:v>
      </x:c>
      <x:c r="H4" s="16" t="n">
        <x:f>(F4-E4)/E4*100</x:f>
        <x:v>20.689655172413794</x:v>
      </x:c>
    </x:row>
    <x:row r="5">
      <x:c r="A5" s="9" t="str">
        <x:v>Т-004</x:v>
      </x:c>
      <x:c r="B5" s="9" t="str">
        <x:v>Краска порошковая</x:v>
      </x:c>
      <x:c r="C5" s="9" t="str">
        <x:v>Сырьё</x:v>
      </x:c>
      <x:c r="D5" s="9" t="str">
        <x:v>кг</x:v>
      </x:c>
      <x:c r="E5" s="12" t="n">
        <x:v>520</x:v>
      </x:c>
      <x:c r="F5" s="12" t="n">
        <x:v>850</x:v>
      </x:c>
      <x:c r="G5" s="14" t="n">
        <x:v>40</x:v>
      </x:c>
      <x:c r="H5" s="16" t="n">
        <x:f>(F5-E5)/E5*100</x:f>
        <x:v>63.46153846153846</x:v>
      </x:c>
    </x:row>
    <x:row r="6">
      <x:c r="A6" s="9" t="str">
        <x:v>Т-005</x:v>
      </x:c>
      <x:c r="B6" s="9" t="str">
        <x:v>Гранулят полимерный</x:v>
      </x:c>
      <x:c r="C6" s="9" t="str">
        <x:v>Сырьё</x:v>
      </x:c>
      <x:c r="D6" s="9" t="str">
        <x:v>кг</x:v>
      </x:c>
      <x:c r="E6" s="12" t="n">
        <x:v>165</x:v>
      </x:c>
      <x:c r="F6" s="12" t="n">
        <x:v>275</x:v>
      </x:c>
      <x:c r="G6" s="14" t="n">
        <x:v>100</x:v>
      </x:c>
      <x:c r="H6" s="16" t="n">
        <x:f>(F6-E6)/E6*100</x:f>
        <x:v>66.66666666666666</x:v>
      </x:c>
    </x:row>
    <x:row r="7">
      <x:c r="A7" s="9" t="str">
        <x:v>Т-006</x:v>
      </x:c>
      <x:c r="B7" s="9" t="str">
        <x:v>Заготовка металлическая</x:v>
      </x:c>
      <x:c r="C7" s="9" t="str">
        <x:v>Полуфабрикат</x:v>
      </x:c>
      <x:c r="D7" s="9" t="str">
        <x:v>шт.</x:v>
      </x:c>
      <x:c r="E7" s="12" t="n">
        <x:v>310</x:v>
      </x:c>
      <x:c r="F7" s="12" t="n">
        <x:v>355</x:v>
      </x:c>
      <x:c r="G7" s="14" t="n">
        <x:v>60</x:v>
      </x:c>
      <x:c r="H7" s="16" t="n">
        <x:f>(F7-E7)/E7*100</x:f>
        <x:v>14.516129032258066</x:v>
      </x:c>
    </x:row>
    <x:row r="8">
      <x:c r="A8" s="9" t="str">
        <x:v>Т-007</x:v>
      </x:c>
      <x:c r="B8" s="9" t="str">
        <x:v>Каркас сварной</x:v>
      </x:c>
      <x:c r="C8" s="9" t="str">
        <x:v>Полуфабрикат</x:v>
      </x:c>
      <x:c r="D8" s="9" t="str">
        <x:v>шт.</x:v>
      </x:c>
      <x:c r="E8" s="12" t="n">
        <x:v>1250</x:v>
      </x:c>
      <x:c r="F8" s="12" t="n">
        <x:v>1750</x:v>
      </x:c>
      <x:c r="G8" s="14" t="n">
        <x:v>25</x:v>
      </x:c>
      <x:c r="H8" s="16" t="n">
        <x:f>(F8-E8)/E8*100</x:f>
        <x:v>40</x:v>
      </x:c>
    </x:row>
    <x:row r="9">
      <x:c r="A9" s="9" t="str">
        <x:v>Т-008</x:v>
      </x:c>
      <x:c r="B9" s="9" t="str">
        <x:v>Панель облицовочная</x:v>
      </x:c>
      <x:c r="C9" s="9" t="str">
        <x:v>Полуфабрикат</x:v>
      </x:c>
      <x:c r="D9" s="9" t="str">
        <x:v>шт.</x:v>
      </x:c>
      <x:c r="E9" s="12" t="n">
        <x:v>690</x:v>
      </x:c>
      <x:c r="F9" s="12" t="n">
        <x:v>1040</x:v>
      </x:c>
      <x:c r="G9" s="14" t="n">
        <x:v>30</x:v>
      </x:c>
      <x:c r="H9" s="16" t="n">
        <x:f>(F9-E9)/E9*100</x:f>
        <x:v>50.72463768115942</x:v>
      </x:c>
    </x:row>
    <x:row r="10">
      <x:c r="A10" s="9" t="str">
        <x:v>Т-009</x:v>
      </x:c>
      <x:c r="B10" s="9" t="str">
        <x:v>Корпус пластиковый</x:v>
      </x:c>
      <x:c r="C10" s="9" t="str">
        <x:v>Полуфабрикат</x:v>
      </x:c>
      <x:c r="D10" s="9" t="str">
        <x:v>шт.</x:v>
      </x:c>
      <x:c r="E10" s="12" t="n">
        <x:v>430</x:v>
      </x:c>
      <x:c r="F10" s="12" t="n">
        <x:v>720</x:v>
      </x:c>
      <x:c r="G10" s="14" t="n">
        <x:v>45</x:v>
      </x:c>
      <x:c r="H10" s="16" t="n">
        <x:f>(F10-E10)/E10*100</x:f>
        <x:v>67.44186046511628</x:v>
      </x:c>
    </x:row>
    <x:row r="11">
      <x:c r="A11" s="9" t="str">
        <x:v>Т-010</x:v>
      </x:c>
      <x:c r="B11" s="9" t="str">
        <x:v>Жгут проводов</x:v>
      </x:c>
      <x:c r="C11" s="9" t="str">
        <x:v>Полуфабрикат</x:v>
      </x:c>
      <x:c r="D11" s="9" t="str">
        <x:v>шт.</x:v>
      </x:c>
      <x:c r="E11" s="12" t="n">
        <x:v>260</x:v>
      </x:c>
      <x:c r="F11" s="12" t="n">
        <x:v>380</x:v>
      </x:c>
      <x:c r="G11" s="14" t="n">
        <x:v>50</x:v>
      </x:c>
      <x:c r="H11" s="16" t="n">
        <x:f>(F11-E11)/E11*100</x:f>
        <x:v>46.15384615384615</x:v>
      </x:c>
    </x:row>
    <x:row r="12">
      <x:c r="A12" s="9" t="str">
        <x:v>Т-011</x:v>
      </x:c>
      <x:c r="B12" s="9" t="str">
        <x:v>Стол производственный</x:v>
      </x:c>
      <x:c r="C12" s="9" t="str">
        <x:v>Готовая продукция</x:v>
      </x:c>
      <x:c r="D12" s="9" t="str">
        <x:v>шт.</x:v>
      </x:c>
      <x:c r="E12" s="12" t="n">
        <x:v>8500</x:v>
      </x:c>
      <x:c r="F12" s="12" t="n">
        <x:v>10900</x:v>
      </x:c>
      <x:c r="G12" s="14" t="n">
        <x:v>8</x:v>
      </x:c>
      <x:c r="H12" s="16" t="n">
        <x:f>(F12-E12)/E12*100</x:f>
        <x:v>28.235294117647058</x:v>
      </x:c>
    </x:row>
    <x:row r="13">
      <x:c r="A13" s="9" t="str">
        <x:v>Т-012</x:v>
      </x:c>
      <x:c r="B13" s="9" t="str">
        <x:v>Стул офисный</x:v>
      </x:c>
      <x:c r="C13" s="9" t="str">
        <x:v>Готовая продукция</x:v>
      </x:c>
      <x:c r="D13" s="9" t="str">
        <x:v>шт.</x:v>
      </x:c>
      <x:c r="E13" s="12" t="n">
        <x:v>4200</x:v>
      </x:c>
      <x:c r="F13" s="12" t="n">
        <x:v>6900</x:v>
      </x:c>
      <x:c r="G13" s="14" t="n">
        <x:v>12</x:v>
      </x:c>
      <x:c r="H13" s="16" t="n">
        <x:f>(F13-E13)/E13*100</x:f>
        <x:v>64.28571428571429</x:v>
      </x:c>
    </x:row>
    <x:row r="14">
      <x:c r="A14" s="9" t="str">
        <x:v>Т-013</x:v>
      </x:c>
      <x:c r="B14" s="9" t="str">
        <x:v>Стеллаж металлический</x:v>
      </x:c>
      <x:c r="C14" s="9" t="str">
        <x:v>Готовая продукция</x:v>
      </x:c>
      <x:c r="D14" s="9" t="str">
        <x:v>шт.</x:v>
      </x:c>
      <x:c r="E14" s="12" t="n">
        <x:v>6200</x:v>
      </x:c>
      <x:c r="F14" s="12" t="n">
        <x:v>9800</x:v>
      </x:c>
      <x:c r="G14" s="14" t="n">
        <x:v>10</x:v>
      </x:c>
      <x:c r="H14" s="16" t="n">
        <x:f>(F14-E14)/E14*100</x:f>
        <x:v>58.06451612903226</x:v>
      </x:c>
    </x:row>
    <x:row r="15">
      <x:c r="A15" s="9" t="str">
        <x:v>Т-014</x:v>
      </x:c>
      <x:c r="B15" s="9" t="str">
        <x:v>Шкаф инструментальный</x:v>
      </x:c>
      <x:c r="C15" s="9" t="str">
        <x:v>Готовая продукция</x:v>
      </x:c>
      <x:c r="D15" s="9" t="str">
        <x:v>шт.</x:v>
      </x:c>
      <x:c r="E15" s="12" t="n">
        <x:v>11800</x:v>
      </x:c>
      <x:c r="F15" s="12" t="n">
        <x:v>13900</x:v>
      </x:c>
      <x:c r="G15" s="14" t="n">
        <x:v>5</x:v>
      </x:c>
      <x:c r="H15" s="16" t="n">
        <x:f>(F15-E15)/E15*100</x:f>
        <x:v>17.796610169491526</x:v>
      </x:c>
    </x:row>
    <x:row r="16">
      <x:c r="A16" s="9" t="str">
        <x:v>Т-015</x:v>
      </x:c>
      <x:c r="B16" s="9" t="str">
        <x:v>Тележка инструментальная</x:v>
      </x:c>
      <x:c r="C16" s="9" t="str">
        <x:v>Готовая продукция</x:v>
      </x:c>
      <x:c r="D16" s="9" t="str">
        <x:v>шт.</x:v>
      </x:c>
      <x:c r="E16" s="12" t="n">
        <x:v>9600</x:v>
      </x:c>
      <x:c r="F16" s="12" t="n">
        <x:v>14900</x:v>
      </x:c>
      <x:c r="G16" s="14" t="n">
        <x:v>6</x:v>
      </x:c>
      <x:c r="H16" s="16" t="n">
        <x:f>(F16-E16)/E16*100</x:f>
        <x:v>55.208333333333336</x:v>
      </x:c>
    </x:row>
    <x:row r="17">
      <x:c r="A17" s="9" t="str">
        <x:v>Т-016</x:v>
      </x:c>
      <x:c r="B17" s="9" t="str">
        <x:v>Саморезы 4×30 (уп.)</x:v>
      </x:c>
      <x:c r="C17" s="9" t="str">
        <x:v>Расходные материалы</x:v>
      </x:c>
      <x:c r="D17" s="9" t="str">
        <x:v>шт.</x:v>
      </x:c>
      <x:c r="E17" s="12" t="n">
        <x:v>180</x:v>
      </x:c>
      <x:c r="F17" s="12" t="n">
        <x:v>320</x:v>
      </x:c>
      <x:c r="G17" s="14" t="n">
        <x:v>90</x:v>
      </x:c>
      <x:c r="H17" s="16" t="n">
        <x:f>(F17-E17)/E17*100</x:f>
        <x:v>77.77777777777779</x:v>
      </x:c>
    </x:row>
    <x:row r="18">
      <x:c r="A18" s="9" t="str">
        <x:v>Т-017</x:v>
      </x:c>
      <x:c r="B18" s="9" t="str">
        <x:v>Болты М8 (уп.)</x:v>
      </x:c>
      <x:c r="C18" s="9" t="str">
        <x:v>Расходные материалы</x:v>
      </x:c>
      <x:c r="D18" s="9" t="str">
        <x:v>шт.</x:v>
      </x:c>
      <x:c r="E18" s="12" t="n">
        <x:v>240</x:v>
      </x:c>
      <x:c r="F18" s="12" t="n">
        <x:v>285</x:v>
      </x:c>
      <x:c r="G18" s="14" t="n">
        <x:v>70</x:v>
      </x:c>
      <x:c r="H18" s="16" t="n">
        <x:f>(F18-E18)/E18*100</x:f>
        <x:v>18.75</x:v>
      </x:c>
    </x:row>
    <x:row r="19">
      <x:c r="A19" s="9" t="str">
        <x:v>Т-018</x:v>
      </x:c>
      <x:c r="B19" s="9" t="str">
        <x:v>Лента упаковочная</x:v>
      </x:c>
      <x:c r="C19" s="9" t="str">
        <x:v>Расходные материалы</x:v>
      </x:c>
      <x:c r="D19" s="9" t="str">
        <x:v>шт.</x:v>
      </x:c>
      <x:c r="E19" s="12" t="n">
        <x:v>95</x:v>
      </x:c>
      <x:c r="F19" s="12" t="n">
        <x:v>165</x:v>
      </x:c>
      <x:c r="G19" s="14" t="n">
        <x:v>100</x:v>
      </x:c>
      <x:c r="H19" s="16" t="n">
        <x:f>(F19-E19)/E19*100</x:f>
        <x:v>73.68421052631578</x:v>
      </x:c>
    </x:row>
    <x:row r="20">
      <x:c r="A20" s="9" t="str">
        <x:v>Т-019</x:v>
      </x:c>
      <x:c r="B20" s="9" t="str">
        <x:v>Перчатки рабочие</x:v>
      </x:c>
      <x:c r="C20" s="9" t="str">
        <x:v>Расходные материалы</x:v>
      </x:c>
      <x:c r="D20" s="9" t="str">
        <x:v>шт.</x:v>
      </x:c>
      <x:c r="E20" s="12" t="n">
        <x:v>75</x:v>
      </x:c>
      <x:c r="F20" s="12" t="n">
        <x:v>120</x:v>
      </x:c>
      <x:c r="G20" s="14" t="n">
        <x:v>150</x:v>
      </x:c>
      <x:c r="H20" s="16" t="n">
        <x:f>(F20-E20)/E20*100</x:f>
        <x:v>60</x:v>
      </x:c>
    </x:row>
    <x:row r="21">
      <x:c r="A21" s="9" t="str">
        <x:v>Т-020</x:v>
      </x:c>
      <x:c r="B21" s="9" t="str">
        <x:v>Растворитель технический</x:v>
      </x:c>
      <x:c r="C21" s="9" t="str">
        <x:v>Расходные материалы</x:v>
      </x:c>
      <x:c r="D21" s="9" t="str">
        <x:v>л</x:v>
      </x:c>
      <x:c r="E21" s="12" t="n">
        <x:v>190</x:v>
      </x:c>
      <x:c r="F21" s="12" t="n">
        <x:v>250</x:v>
      </x:c>
      <x:c r="G21" s="14" t="n">
        <x:v>50</x:v>
      </x:c>
      <x:c r="H21" s="16" t="n">
        <x:f>(F21-E21)/E21*100</x:f>
        <x:v>31.57894736842105</x:v>
      </x:c>
    </x:row>
  </x:sheetData>
  <x:conditionalFormatting sqref="H2:H21">
    <x:cfRule type="cellIs" dxfId="0" priority="1" operator="lessThan">
      <x:formula>20</x:formula>
    </x:cfRule>
    <x:cfRule type="cellIs" dxfId="1" priority="2" operator="greaterThan">
      <x:formula>50</x:formula>
    </x:cfRule>
  </x:conditionalFormatting>
  <x:dataValidations count="1">
    <x:dataValidation type="list" sqref="C2:C21">
      <x:formula1>"Сырьё,Полуфабрикат,Готовая продукция,Расходные материалы"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21" hidden="0" customWidth="1"/>
    <x:col min="7" max="7" width="24" hidden="0" customWidth="1"/>
    <x:col min="8" max="8" width="3" hidden="0" customWidth="1"/>
    <x:col min="9" max="9" width="21" hidden="0" customWidth="1"/>
  </x:cols>
  <x:sheetData>
    <x:row r="1">
      <x:c r="A1" s="8" t="str">
        <x:v>Код контрагента</x:v>
      </x:c>
      <x:c r="B1" s="8" t="str">
        <x:v>Наименование организации</x:v>
      </x:c>
      <x:c r="C1" s="8" t="str">
        <x:v>Тип</x:v>
      </x:c>
      <x:c r="D1" s="8" t="str">
        <x:v>ИНН</x:v>
      </x:c>
      <x:c r="E1" s="8" t="str">
        <x:v>Город</x:v>
      </x:c>
      <x:c r="F1" s="8" t="str">
        <x:v>Телефон</x:v>
      </x:c>
      <x:c r="G1" s="8" t="str">
        <x:v>Условия оплаты (дней)</x:v>
      </x:c>
      <x:c r="H1" s="9"/>
      <x:c r="I1" s="18" t="str">
        <x:v>Список городов</x:v>
      </x:c>
    </x:row>
    <x:row r="2">
      <x:c r="A2" s="9" t="str">
        <x:v>К-001</x:v>
      </x:c>
      <x:c r="B2" s="9" t="str">
        <x:v>ООО «СеверМеталл»</x:v>
      </x:c>
      <x:c r="C2" s="9" t="str">
        <x:v>Поставщик</x:v>
      </x:c>
      <x:c r="D2" s="20" t="str">
        <x:v>7604012345</x:v>
      </x:c>
      <x:c r="E2" s="9" t="str">
        <x:v>Ярославль</x:v>
      </x:c>
      <x:c r="F2" s="20" t="str">
        <x:v>+7 (999) 101-10-01</x:v>
      </x:c>
      <x:c r="G2" s="14" t="n">
        <x:v>30</x:v>
      </x:c>
      <x:c r="H2" s="9"/>
      <x:c r="I2" s="9" t="str">
        <x:v>Ярославль</x:v>
      </x:c>
    </x:row>
    <x:row r="3">
      <x:c r="A3" s="9" t="str">
        <x:v>К-002</x:v>
      </x:c>
      <x:c r="B3" s="9" t="str">
        <x:v>АО «ПромАлюминий»</x:v>
      </x:c>
      <x:c r="C3" s="9" t="str">
        <x:v>Поставщик</x:v>
      </x:c>
      <x:c r="D3" s="20" t="str">
        <x:v>7705123456</x:v>
      </x:c>
      <x:c r="E3" s="9" t="str">
        <x:v>Москва</x:v>
      </x:c>
      <x:c r="F3" s="20" t="str">
        <x:v>+7 (999) 101-10-02</x:v>
      </x:c>
      <x:c r="G3" s="14" t="n">
        <x:v>20</x:v>
      </x:c>
      <x:c r="H3" s="9"/>
      <x:c r="I3" s="9" t="str">
        <x:v>Москва</x:v>
      </x:c>
    </x:row>
    <x:row r="4">
      <x:c r="A4" s="9" t="str">
        <x:v>К-003</x:v>
      </x:c>
      <x:c r="B4" s="9" t="str">
        <x:v>ООО «ЛесКомплект»</x:v>
      </x:c>
      <x:c r="C4" s="9" t="str">
        <x:v>Поставщик</x:v>
      </x:c>
      <x:c r="D4" s="20" t="str">
        <x:v>4401123457</x:v>
      </x:c>
      <x:c r="E4" s="9" t="str">
        <x:v>Кострома</x:v>
      </x:c>
      <x:c r="F4" s="20" t="str">
        <x:v>+7 (999) 101-10-03</x:v>
      </x:c>
      <x:c r="G4" s="14" t="n">
        <x:v>14</x:v>
      </x:c>
      <x:c r="H4" s="9"/>
      <x:c r="I4" s="9" t="str">
        <x:v>Кострома</x:v>
      </x:c>
    </x:row>
    <x:row r="5">
      <x:c r="A5" s="9" t="str">
        <x:v>К-004</x:v>
      </x:c>
      <x:c r="B5" s="9" t="str">
        <x:v>ООО «ПолимерСнаб»</x:v>
      </x:c>
      <x:c r="C5" s="9" t="str">
        <x:v>Поставщик</x:v>
      </x:c>
      <x:c r="D5" s="20" t="str">
        <x:v>7812123458</x:v>
      </x:c>
      <x:c r="E5" s="9" t="str">
        <x:v>Санкт-Петербург</x:v>
      </x:c>
      <x:c r="F5" s="20" t="str">
        <x:v>+7 (999) 101-10-04</x:v>
      </x:c>
      <x:c r="G5" s="14" t="n">
        <x:v>30</x:v>
      </x:c>
      <x:c r="H5" s="9"/>
      <x:c r="I5" s="9" t="str">
        <x:v>Санкт-Петербург</x:v>
      </x:c>
    </x:row>
    <x:row r="6">
      <x:c r="A6" s="9" t="str">
        <x:v>К-005</x:v>
      </x:c>
      <x:c r="B6" s="9" t="str">
        <x:v>ООО «ПрофКраска»</x:v>
      </x:c>
      <x:c r="C6" s="9" t="str">
        <x:v>Поставщик</x:v>
      </x:c>
      <x:c r="D6" s="20" t="str">
        <x:v>5207123459</x:v>
      </x:c>
      <x:c r="E6" s="9" t="str">
        <x:v>Нижний Новгород</x:v>
      </x:c>
      <x:c r="F6" s="20" t="str">
        <x:v>+7 (999) 101-10-05</x:v>
      </x:c>
      <x:c r="G6" s="14" t="n">
        <x:v>15</x:v>
      </x:c>
      <x:c r="H6" s="9"/>
      <x:c r="I6" s="9" t="str">
        <x:v>Нижний Новгород</x:v>
      </x:c>
    </x:row>
    <x:row r="7">
      <x:c r="A7" s="9" t="str">
        <x:v>К-006</x:v>
      </x:c>
      <x:c r="B7" s="9" t="str">
        <x:v>ООО «Крепёж-Сервис»</x:v>
      </x:c>
      <x:c r="C7" s="9" t="str">
        <x:v>Поставщик</x:v>
      </x:c>
      <x:c r="D7" s="20" t="str">
        <x:v>7604123460</x:v>
      </x:c>
      <x:c r="E7" s="9" t="str">
        <x:v>Ярославль</x:v>
      </x:c>
      <x:c r="F7" s="20" t="str">
        <x:v>+7 (999) 101-10-06</x:v>
      </x:c>
      <x:c r="G7" s="14" t="n">
        <x:v>10</x:v>
      </x:c>
      <x:c r="H7" s="9"/>
      <x:c r="I7" s="9" t="str">
        <x:v>Иваново</x:v>
      </x:c>
    </x:row>
    <x:row r="8">
      <x:c r="A8" s="9" t="str">
        <x:v>К-007</x:v>
      </x:c>
      <x:c r="B8" s="9" t="str">
        <x:v>ООО «ЭлектроКомплект»</x:v>
      </x:c>
      <x:c r="C8" s="9" t="str">
        <x:v>Поставщик</x:v>
      </x:c>
      <x:c r="D8" s="20" t="str">
        <x:v>5001123461</x:v>
      </x:c>
      <x:c r="E8" s="9" t="str">
        <x:v>Москва</x:v>
      </x:c>
      <x:c r="F8" s="20" t="str">
        <x:v>+7 (999) 101-10-07</x:v>
      </x:c>
      <x:c r="G8" s="14" t="n">
        <x:v>21</x:v>
      </x:c>
      <x:c r="H8" s="9"/>
      <x:c r="I8" s="9" t="str">
        <x:v>Владимир</x:v>
      </x:c>
    </x:row>
    <x:row r="9">
      <x:c r="A9" s="9" t="str">
        <x:v>К-008</x:v>
      </x:c>
      <x:c r="B9" s="9" t="str">
        <x:v>ООО «ПакТрейд»</x:v>
      </x:c>
      <x:c r="C9" s="9" t="str">
        <x:v>Поставщик</x:v>
      </x:c>
      <x:c r="D9" s="20" t="str">
        <x:v>3702123462</x:v>
      </x:c>
      <x:c r="E9" s="9" t="str">
        <x:v>Иваново</x:v>
      </x:c>
      <x:c r="F9" s="20" t="str">
        <x:v>+7 (999) 101-10-08</x:v>
      </x:c>
      <x:c r="G9" s="14" t="n">
        <x:v>14</x:v>
      </x:c>
      <x:c r="H9" s="9"/>
      <x:c r="I9" s="9"/>
    </x:row>
    <x:row r="10">
      <x:c r="A10" s="9" t="str">
        <x:v>К-009</x:v>
      </x:c>
      <x:c r="B10" s="9" t="str">
        <x:v>ООО «ХимСнаб Регион»</x:v>
      </x:c>
      <x:c r="C10" s="9" t="str">
        <x:v>Поставщик</x:v>
      </x:c>
      <x:c r="D10" s="20" t="str">
        <x:v>3301123463</x:v>
      </x:c>
      <x:c r="E10" s="9" t="str">
        <x:v>Владимир</x:v>
      </x:c>
      <x:c r="F10" s="20" t="str">
        <x:v>+7 (999) 101-10-09</x:v>
      </x:c>
      <x:c r="G10" s="14" t="n">
        <x:v>30</x:v>
      </x:c>
      <x:c r="H10" s="9"/>
      <x:c r="I10" s="9"/>
    </x:row>
    <x:row r="11">
      <x:c r="A11" s="9" t="str">
        <x:v>К-010</x:v>
      </x:c>
      <x:c r="B11" s="9" t="str">
        <x:v>ООО «ОфисПроект»</x:v>
      </x:c>
      <x:c r="C11" s="9" t="str">
        <x:v>Покупатель</x:v>
      </x:c>
      <x:c r="D11" s="20" t="str">
        <x:v>7604123464</x:v>
      </x:c>
      <x:c r="E11" s="9" t="str">
        <x:v>Ярославль</x:v>
      </x:c>
      <x:c r="F11" s="20" t="str">
        <x:v>+7 (999) 202-20-10</x:v>
      </x:c>
      <x:c r="G11" s="14" t="n">
        <x:v>15</x:v>
      </x:c>
      <x:c r="H11" s="9"/>
      <x:c r="I11" s="9"/>
    </x:row>
    <x:row r="12">
      <x:c r="A12" s="9" t="str">
        <x:v>К-011</x:v>
      </x:c>
      <x:c r="B12" s="9" t="str">
        <x:v>АО «РегионСтрой»</x:v>
      </x:c>
      <x:c r="C12" s="9" t="str">
        <x:v>Покупатель</x:v>
      </x:c>
      <x:c r="D12" s="20" t="str">
        <x:v>7705123465</x:v>
      </x:c>
      <x:c r="E12" s="9" t="str">
        <x:v>Москва</x:v>
      </x:c>
      <x:c r="F12" s="20" t="str">
        <x:v>+7 (999) 202-20-11</x:v>
      </x:c>
      <x:c r="G12" s="14" t="n">
        <x:v>30</x:v>
      </x:c>
      <x:c r="H12" s="9"/>
      <x:c r="I12" s="9"/>
    </x:row>
    <x:row r="13">
      <x:c r="A13" s="9" t="str">
        <x:v>К-012</x:v>
      </x:c>
      <x:c r="B13" s="9" t="str">
        <x:v>ООО «СкладСервис»</x:v>
      </x:c>
      <x:c r="C13" s="9" t="str">
        <x:v>Покупатель</x:v>
      </x:c>
      <x:c r="D13" s="20" t="str">
        <x:v>4401123466</x:v>
      </x:c>
      <x:c r="E13" s="9" t="str">
        <x:v>Кострома</x:v>
      </x:c>
      <x:c r="F13" s="20" t="str">
        <x:v>+7 (999) 202-20-12</x:v>
      </x:c>
      <x:c r="G13" s="14" t="n">
        <x:v>20</x:v>
      </x:c>
      <x:c r="H13" s="9"/>
      <x:c r="I13" s="9"/>
    </x:row>
    <x:row r="14">
      <x:c r="A14" s="9" t="str">
        <x:v>К-013</x:v>
      </x:c>
      <x:c r="B14" s="9" t="str">
        <x:v>ООО «МастерМебель»</x:v>
      </x:c>
      <x:c r="C14" s="9" t="str">
        <x:v>Покупатель</x:v>
      </x:c>
      <x:c r="D14" s="20" t="str">
        <x:v>3702123467</x:v>
      </x:c>
      <x:c r="E14" s="9" t="str">
        <x:v>Иваново</x:v>
      </x:c>
      <x:c r="F14" s="20" t="str">
        <x:v>+7 (999) 202-20-13</x:v>
      </x:c>
      <x:c r="G14" s="14" t="n">
        <x:v>14</x:v>
      </x:c>
      <x:c r="H14" s="9"/>
      <x:c r="I14" s="9"/>
    </x:row>
    <x:row r="15">
      <x:c r="A15" s="9" t="str">
        <x:v>К-014</x:v>
      </x:c>
      <x:c r="B15" s="9" t="str">
        <x:v>ООО «ТехноПарк»</x:v>
      </x:c>
      <x:c r="C15" s="9" t="str">
        <x:v>Покупатель</x:v>
      </x:c>
      <x:c r="D15" s="20" t="str">
        <x:v>5207123468</x:v>
      </x:c>
      <x:c r="E15" s="9" t="str">
        <x:v>Нижний Новгород</x:v>
      </x:c>
      <x:c r="F15" s="20" t="str">
        <x:v>+7 (999) 202-20-14</x:v>
      </x:c>
      <x:c r="G15" s="14" t="n">
        <x:v>30</x:v>
      </x:c>
      <x:c r="H15" s="9"/>
      <x:c r="I15" s="9"/>
    </x:row>
    <x:row r="16">
      <x:c r="A16" s="9" t="str">
        <x:v>К-015</x:v>
      </x:c>
      <x:c r="B16" s="9" t="str">
        <x:v>ООО «Вектор»</x:v>
      </x:c>
      <x:c r="C16" s="9" t="str">
        <x:v>Покупатель</x:v>
      </x:c>
      <x:c r="D16" s="20" t="str">
        <x:v>3301123469</x:v>
      </x:c>
      <x:c r="E16" s="9" t="str">
        <x:v>Владимир</x:v>
      </x:c>
      <x:c r="F16" s="20" t="str">
        <x:v>+7 (999) 202-20-15</x:v>
      </x:c>
      <x:c r="G16" s="14" t="n">
        <x:v>10</x:v>
      </x:c>
      <x:c r="H16" s="9"/>
      <x:c r="I16" s="9"/>
    </x:row>
  </x:sheetData>
  <x:dataValidations count="2">
    <x:dataValidation type="list" sqref="C2:C16">
      <x:formula1>"Поставщик,Покупатель"</x:formula1>
    </x:dataValidation>
    <x:dataValidation type="list" sqref="E2:E16">
      <x:formula1>'Справочник контрагентов'!$I$2:$I$8</x:formula1>
    </x:dataValidation>
  </x:dataValidations>
  <x:pageMargins left="0.7" right="0.7" top="0.75" bottom="0.75" header="0.3" footer="0.3"/>
</x:worksheet>
</file>